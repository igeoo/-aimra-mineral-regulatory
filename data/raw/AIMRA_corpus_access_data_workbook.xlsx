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96fb3373da47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4e1ae313d56422b"/>
    <x:sheet xmlns:r="http://schemas.openxmlformats.org/officeDocument/2006/relationships" name="Corpus_Register" sheetId="2" r:id="R6f5c40f14d3a41b4"/>
    <x:sheet xmlns:r="http://schemas.openxmlformats.org/officeDocument/2006/relationships" name="Annotation_Codebook" sheetId="3" r:id="R5b2c9a2abc3649c2"/>
    <x:sheet xmlns:r="http://schemas.openxmlformats.org/officeDocument/2006/relationships" name="Data_Access_Log" sheetId="4" r:id="Rf760655b66814e7a"/>
    <x:sheet xmlns:r="http://schemas.openxmlformats.org/officeDocument/2006/relationships" name="Metric_Input_Data" sheetId="5" r:id="Ra90012e7d5bc4db7"/>
    <x:sheet xmlns:r="http://schemas.openxmlformats.org/officeDocument/2006/relationships" name="Statutory_Rule_Encoding" sheetId="6" r:id="Rc92108c78d734542"/>
    <x:sheet xmlns:r="http://schemas.openxmlformats.org/officeDocument/2006/relationships" name="Quality_Control" sheetId="7" r:id="R4824098d6f484a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"/>
    <x:numFmt numFmtId="202" formatCode="0.00%"/>
    <x:numFmt numFmtId="203" formatCode="0%"/>
  </x:numFmts>
  <x:fonts count="7">
    <x:font>
      <x:sz val="11"/>
      <x:name val="Carlito"/>
    </x:font>
    <x:font>
      <x:b/>
      <x:sz val="16"/>
      <x:color rgb="FFFFFF"/>
      <x:name val="Carlito"/>
    </x:font>
    <x:font>
      <x:b/>
      <x:sz val="11"/>
      <x:color rgb="1F4E78"/>
      <x:name val="Carlito"/>
    </x:font>
    <x:font>
      <x:b/>
      <x:sz val="11"/>
      <x:color rgb="FFFFFF"/>
      <x:name val="Carlito"/>
    </x:font>
    <x:font>
      <x:b/>
      <x:sz val="10"/>
      <x:color rgb="FFFFFF"/>
      <x:name val="Aptos"/>
    </x:font>
    <x:font>
      <x:sz val="10"/>
      <x:name val="Aptos"/>
    </x:font>
    <x:font>
      <x:b/>
      <x:sz val="10"/>
      <x:color rgb="1F4E78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17365D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horizontal="left"/>
    </x:xf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/>
    <x:xf numFmtId="0" fontId="6" fillId="3" borderId="1" xfId="0" applyNumberFormat="1" applyFont="1" applyFill="1" applyBorder="1" applyAlignment="1">
      <x:alignment horizontal="left"/>
    </x:xf>
    <x:xf numFmtId="0" fontId="5" fillId="0" borderId="1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top"/>
    </x:xf>
    <x:xf numFmtId="0" fontId="5" fillId="0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 applyAlignment="1">
      <x:alignment horizontal="left" vertical="top"/>
    </x:xf>
    <x:xf numFmtId="0" fontId="5" fillId="0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top"/>
    </x:xf>
    <x:xf numFmtId="0" fontId="4" fillId="2" borderId="1" xfId="0" applyNumberFormat="1" applyFont="1" applyFill="1" applyBorder="1" applyAlignment="1">
      <x:alignment horizontal="center" vertical="top"/>
    </x:xf>
    <x:xf numFmtId="0" fontId="5" fillId="0" borderId="1" xfId="0" applyNumberFormat="1" applyFont="1" applyFill="1" applyBorder="1" applyAlignment="1">
      <x:alignment vertical="top"/>
    </x:xf>
    <x:xf numFmtId="0" fontId="6" fillId="3" borderId="1" xfId="0" applyNumberFormat="1" applyFont="1" applyFill="1" applyBorder="1" applyAlignment="1">
      <x:alignment horizontal="left" vertical="top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center" vertical="top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0" fontId="5" fillId="0" borderId="0" xfId="0" applyNumberFormat="1" applyFont="1" applyFill="1" applyBorder="1" applyAlignment="1">
      <x:alignment vertical="top"/>
    </x:xf>
    <x:xf numFmtId="200" fontId="5" fillId="0" borderId="1" xfId="0" applyNumberFormat="1" applyFont="1" applyFill="1" applyBorder="1" applyAlignment="1">
      <x:alignment vertical="top"/>
    </x:xf>
    <x:xf numFmtId="201" fontId="5" fillId="0" borderId="0" xfId="0" applyNumberFormat="1" applyFont="1" applyFill="1" applyBorder="1"/>
    <x:xf numFmtId="203" fontId="5" fillId="0" borderId="0" xfId="0" applyNumberFormat="1" applyFont="1" applyFill="1" applyBorder="1"/>
    <x:xf numFmtId="201" fontId="5" fillId="0" borderId="1" xfId="0" applyNumberFormat="1" applyFont="1" applyFill="1" applyBorder="1"/>
    <x:xf numFmtId="203" fontId="5" fillId="0" borderId="1" xfId="0" applyNumberFormat="1" applyFont="1" applyFill="1" applyBorder="1"/>
    <x:xf numFmtId="201" fontId="5" fillId="0" borderId="0" xfId="0" applyNumberFormat="1" applyFont="1" applyFill="1" applyBorder="1" applyAlignment="1">
      <x:alignment vertical="top"/>
    </x:xf>
    <x:xf numFmtId="203" fontId="5" fillId="0" borderId="0" xfId="0" applyNumberFormat="1" applyFont="1" applyFill="1" applyBorder="1" applyAlignment="1">
      <x:alignment vertical="top"/>
    </x:xf>
    <x:xf numFmtId="201" fontId="5" fillId="0" borderId="1" xfId="0" applyNumberFormat="1" applyFont="1" applyFill="1" applyBorder="1" applyAlignment="1">
      <x:alignment vertical="top"/>
    </x:xf>
    <x:xf numFmtId="203" fontId="5" fillId="0" borderId="1" xfId="0" applyNumberFormat="1" applyFont="1" applyFill="1" applyBorder="1" applyAlignment="1">
      <x:alignment vertical="top"/>
    </x:xf>
  </x:cellXfs>
  <x:cellStyles count="1">
    <x:cellStyle name="Normal" xfId="0"/>
  </x:cellStyles>
  <x:dxfs count="4">
    <x:dxf>
      <x:fill>
        <x:patternFill>
          <x:bgColor rgb="FCE4D6"/>
        </x:patternFill>
      </x:fill>
    </x:dxf>
    <x:dxf>
      <x:fill>
        <x:patternFill>
          <x:bgColor rgb="E2F0D9"/>
        </x:patternFill>
      </x:fill>
    </x:dxf>
    <x:dxf>
      <x:fill>
        <x:patternFill>
          <x:bgColor rgb="FFF2CC"/>
        </x:patternFill>
      </x:fill>
    </x:dxf>
    <x:dxf>
      <x:fill>
        <x:patternFill>
          <x:bgColor rgb="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9824d46caa417f" /><Relationship Type="http://schemas.openxmlformats.org/officeDocument/2006/relationships/theme" Target="/xl/theme/theme1.xml" Id="R9fb9deff0c544b5e" /><Relationship Type="http://schemas.openxmlformats.org/officeDocument/2006/relationships/sharedStrings" Target="/xl/sharedStrings.xml" Id="R72cfefff4b1e4a09" /><Relationship Type="http://schemas.openxmlformats.org/officeDocument/2006/relationships/worksheet" Target="/xl/worksheets/sheet1.xml" Id="Ra4e1ae313d56422b" /><Relationship Type="http://schemas.openxmlformats.org/officeDocument/2006/relationships/worksheet" Target="/xl/worksheets/sheet2.xml" Id="R6f5c40f14d3a41b4" /><Relationship Type="http://schemas.openxmlformats.org/officeDocument/2006/relationships/worksheet" Target="/xl/worksheets/sheet3.xml" Id="R5b2c9a2abc3649c2" /><Relationship Type="http://schemas.openxmlformats.org/officeDocument/2006/relationships/worksheet" Target="/xl/worksheets/sheet4.xml" Id="Rf760655b66814e7a" /><Relationship Type="http://schemas.openxmlformats.org/officeDocument/2006/relationships/worksheet" Target="/xl/worksheets/sheet5.xml" Id="Ra90012e7d5bc4db7" /><Relationship Type="http://schemas.openxmlformats.org/officeDocument/2006/relationships/worksheet" Target="/xl/worksheets/sheet6.xml" Id="Rc92108c78d734542" /><Relationship Type="http://schemas.openxmlformats.org/officeDocument/2006/relationships/worksheet" Target="/xl/worksheets/sheet7.xml" Id="R4824098d6f484a90" /></Relationships>
</file>

<file path=xl/tables/table1.xml><?xml version="1.0" encoding="utf-8"?>
<x:table xmlns:x="http://schemas.openxmlformats.org/spreadsheetml/2006/main" id="1" name="CorpusRegister" displayName="CorpusRegister" ref="A1:N14" headerRowCount="1">
  <x:tableColumns count="14">
    <x:tableColumn id="1" name="Corpus_ID"/>
    <x:tableColumn id="2" name="Document_or_Dataset"/>
    <x:tableColumn id="3" name="Jurisdiction"/>
    <x:tableColumn id="4" name="Corpus_Type"/>
    <x:tableColumn id="5" name="AIMRA_Layer"/>
    <x:tableColumn id="6" name="Time_Coverage"/>
    <x:tableColumn id="7" name="Data_Status"/>
    <x:tableColumn id="8" name="Access_Level"/>
    <x:tableColumn id="9" name="Primary_Use"/>
    <x:tableColumn id="10" name="Key_Variables"/>
    <x:tableColumn id="11" name="Public_URL_or_Source"/>
    <x:tableColumn id="12" name="Citation_or_Source_Note"/>
    <x:tableColumn id="13" name="Redistribution_Action"/>
    <x:tableColumn id="14" name="Reviewer_Replication_Note"/>
  </x:tableColumns>
  <x:tableStyleInfo name="TableStyleMedium2" showRowStripes="1"/>
</x:table>
</file>

<file path=xl/tables/table2.xml><?xml version="1.0" encoding="utf-8"?>
<x:table xmlns:x="http://schemas.openxmlformats.org/spreadsheetml/2006/main" id="2" name="AnnotationCodebook" displayName="AnnotationCodebook" ref="A1:J13" headerRowCount="1">
  <x:tableColumns count="10">
    <x:tableColumn id="1" name="Variable_ID"/>
    <x:tableColumn id="2" name="Variable_Name"/>
    <x:tableColumn id="3" name="AIMRA_Index_or_Layer"/>
    <x:tableColumn id="4" name="Operational_Definition"/>
    <x:tableColumn id="5" name="Allowed_Values_or_Formula"/>
    <x:tableColumn id="6" name="Evidence_Required"/>
    <x:tableColumn id="7" name="Coding_Instruction"/>
    <x:tableColumn id="8" name="Uncertainty_Rule"/>
    <x:tableColumn id="9" name="Example_from_Manuscript"/>
    <x:tableColumn id="10" name="Reviewer_Check"/>
  </x:tableColumns>
  <x:tableStyleInfo name="TableStyleMedium2" showRowStripes="1"/>
</x:table>
</file>

<file path=xl/tables/table3.xml><?xml version="1.0" encoding="utf-8"?>
<x:table xmlns:x="http://schemas.openxmlformats.org/spreadsheetml/2006/main" id="3" name="DataAccessLog" displayName="DataAccessLog" ref="A1:K12" headerRowCount="1">
  <x:tableColumns count="11">
    <x:tableColumn id="1" name="Access_ID"/>
    <x:tableColumn id="2" name="Corpus_ID"/>
    <x:tableColumn id="3" name="Access_Pathway"/>
    <x:tableColumn id="4" name="URL_or_Contact"/>
    <x:tableColumn id="5" name="Access_Date"/>
    <x:tableColumn id="6" name="Access_Condition"/>
    <x:tableColumn id="7" name="Redistribution_Status"/>
    <x:tableColumn id="8" name="Data_to_Deposit_in_GitHub"/>
    <x:tableColumn id="9" name="Sensitive_or_Legal_Risk"/>
    <x:tableColumn id="10" name="Mitigation"/>
    <x:tableColumn id="11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MetricInputData" displayName="MetricInputData" ref="A1:P8" headerRowCount="1">
  <x:tableColumns count="16">
    <x:tableColumn id="1" name="Case_ID"/>
    <x:tableColumn id="2" name="System"/>
    <x:tableColumn id="3" name="Jurisdiction"/>
    <x:tableColumn id="4" name="Scenario"/>
    <x:tableColumn id="5" name="RLI_days"/>
    <x:tableColumn id="6" name="RLI_norm"/>
    <x:tableColumn id="7" name="CDR"/>
    <x:tableColumn id="8" name="RLR_raw"/>
    <x:tableColumn id="9" name="RLR_norm"/>
    <x:tableColumn id="10" name="RCS"/>
    <x:tableColumn id="11" name="AAI"/>
    <x:tableColumn id="12" name="G_equal_weight"/>
    <x:tableColumn id="13" name="G_geometric"/>
    <x:tableColumn id="14" name="Data_Confidence"/>
    <x:tableColumn id="15" name="Source_Basis"/>
    <x:tableColumn id="16" name="Uncertainty_Range_or_Note"/>
  </x:tableColumns>
  <x:tableStyleInfo name="TableStyleMedium2" showRowStripes="1"/>
</x:table>
</file>

<file path=xl/tables/table5.xml><?xml version="1.0" encoding="utf-8"?>
<x:table xmlns:x="http://schemas.openxmlformats.org/spreadsheetml/2006/main" id="5" name="StatutoryRules" displayName="StatutoryRules" ref="A1:L6" headerRowCount="1">
  <x:tableColumns count="12">
    <x:tableColumn id="1" name="Rule_ID"/>
    <x:tableColumn id="2" name="Jurisdiction"/>
    <x:tableColumn id="3" name="Legal_or_Admin_Source"/>
    <x:tableColumn id="4" name="AIMRA_Layer"/>
    <x:tableColumn id="5" name="Condition_Field"/>
    <x:tableColumn id="6" name="Condition_Operator"/>
    <x:tableColumn id="7" name="Threshold_or_Trigger"/>
    <x:tableColumn id="8" name="Action"/>
    <x:tableColumn id="9" name="Authority_or_Reviewer"/>
    <x:tableColumn id="10" name="Evidence_Input"/>
    <x:tableColumn id="11" name="Validation_Status"/>
    <x:tableColumn id="12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QualityControl" displayName="QualityControl" ref="A1:I9" headerRowCount="1">
  <x:tableColumns count="9">
    <x:tableColumn id="1" name="QC_ID"/>
    <x:tableColumn id="2" name="Corpus_ID_or_Variable"/>
    <x:tableColumn id="3" name="QC_Check"/>
    <x:tableColumn id="4" name="Responsible_Person"/>
    <x:tableColumn id="5" name="Frequency"/>
    <x:tableColumn id="6" name="Pass_Criterion"/>
    <x:tableColumn id="7" name="Evidence_File_or_Field"/>
    <x:tableColumn id="8" name="Status"/>
    <x:tableColumn id="9" name="Issue_or_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ccbc9795654e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a63c98ce8341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ed06dacd804a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cacb0d1fdaf44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fe60d9696374e5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9695463be25434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  <x:col min="3" max="3" width="50" hidden="0" customWidth="1"/>
  </x:cols>
  <x:sheetData>
    <x:row r="1" ht="15" hidden="0" customHeight="1">
      <x:c r="A1" s="50" t="str">
        <x:v>AIMRA Corpus Access and Data Workbook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 ht="15" hidden="0" customHeight="1">
      <x:c r="A2" s="51"/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</x:row>
    <x:row r="3" ht="15" hidden="0" customHeight="1">
      <x:c r="A3" s="52" t="str">
        <x:v>Workbook purpose</x:v>
      </x:c>
      <x:c r="B3" s="53" t="str">
        <x:v>This workbook documents corpus access, data provenance, annotation variables, statutory rule encoding, and reproducibility controls for the AIMRA manuscript.</x:v>
      </x:c>
      <x:c r="C3" s="51"/>
      <x:c r="D3" s="51"/>
      <x:c r="E3" s="51"/>
      <x:c r="F3" s="51"/>
      <x:c r="G3" s="51"/>
      <x:c r="H3" s="51"/>
      <x:c r="I3" s="51"/>
      <x:c r="J3" s="51"/>
      <x:c r="K3" s="51"/>
      <x:c r="L3" s="51"/>
      <x:c r="M3" s="51"/>
      <x:c r="N3" s="51"/>
      <x:c r="O3" s="51"/>
      <x:c r="P3" s="51"/>
      <x:c r="Q3" s="51"/>
      <x:c r="R3" s="51"/>
      <x:c r="S3" s="51"/>
      <x:c r="T3" s="51"/>
      <x:c r="U3" s="51"/>
      <x:c r="V3" s="51"/>
      <x:c r="W3" s="51"/>
      <x:c r="X3" s="51"/>
      <x:c r="Y3" s="51"/>
      <x:c r="Z3" s="51"/>
    </x:row>
    <x:row r="4" ht="15" hidden="0" customHeight="1">
      <x:c r="A4" s="52" t="str">
        <x:v>Manuscript linkage</x:v>
      </x:c>
      <x:c r="B4" s="53" t="str">
        <x:v>AI-Driven Decision Intelligence Architecture for Mineral Resource Management under Regulatory Constraints: The AIMRA Framework.</x:v>
      </x:c>
      <x:c r="C4" s="51"/>
      <x:c r="D4" s="51"/>
      <x:c r="E4" s="51"/>
      <x:c r="F4" s="51"/>
      <x:c r="G4" s="51"/>
      <x:c r="H4" s="51"/>
      <x:c r="I4" s="51"/>
      <x:c r="J4" s="51"/>
      <x:c r="K4" s="51"/>
      <x:c r="L4" s="51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 ht="15" hidden="0" customHeight="1">
      <x:c r="A5" s="52" t="str">
        <x:v>Recommended use</x:v>
      </x:c>
      <x:c r="B5" s="53" t="str">
        <x:v>Submit as supplementary data-access file, GitHub repository data dictionary, or reviewer-facing reproducibility appendix.</x:v>
      </x:c>
      <x:c r="C5" s="51"/>
      <x:c r="D5" s="51"/>
      <x:c r="E5" s="51"/>
      <x:c r="F5" s="51"/>
      <x:c r="G5" s="51"/>
      <x:c r="H5" s="51"/>
      <x:c r="I5" s="51"/>
      <x:c r="J5" s="51"/>
      <x:c r="K5" s="51"/>
      <x:c r="L5" s="51"/>
      <x:c r="M5" s="51"/>
      <x:c r="N5" s="51"/>
      <x:c r="O5" s="51"/>
      <x:c r="P5" s="51"/>
      <x:c r="Q5" s="51"/>
      <x:c r="R5" s="51"/>
      <x:c r="S5" s="51"/>
      <x:c r="T5" s="51"/>
      <x:c r="U5" s="51"/>
      <x:c r="V5" s="51"/>
      <x:c r="W5" s="51"/>
      <x:c r="X5" s="51"/>
      <x:c r="Y5" s="51"/>
      <x:c r="Z5" s="51"/>
    </x:row>
    <x:row r="6" ht="15" hidden="0" customHeight="1">
      <x:c r="A6" s="52" t="str">
        <x:v>Important limitation</x:v>
      </x:c>
      <x:c r="B6" s="53" t="str">
        <x:v>Rows marked “restricted / not publicly redistributable” identify data that should be replaced by public excerpts, metadata, or synthetic demonstration records unless permission is obtained.</x:v>
      </x:c>
      <x:c r="C6" s="51"/>
      <x:c r="D6" s="51"/>
      <x:c r="E6" s="51"/>
      <x:c r="F6" s="51"/>
      <x:c r="G6" s="51"/>
      <x:c r="H6" s="51"/>
      <x:c r="I6" s="51"/>
      <x:c r="J6" s="51"/>
      <x:c r="K6" s="51"/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</x:row>
    <x:row r="7" ht="15" hidden="0" customHeight="1">
      <x:c r="A7" s="52" t="str">
        <x:v>Version date</x:v>
      </x:c>
      <x:c r="B7" s="54" t="n">
        <x:v>46150</x:v>
      </x:c>
      <x:c r="C7" s="51"/>
      <x:c r="D7" s="51"/>
      <x:c r="E7" s="51"/>
      <x:c r="F7" s="51"/>
      <x:c r="G7" s="51"/>
      <x:c r="H7" s="51"/>
      <x:c r="I7" s="51"/>
      <x:c r="J7" s="51"/>
      <x:c r="K7" s="51"/>
      <x:c r="L7" s="51"/>
      <x:c r="M7" s="51"/>
      <x:c r="N7" s="51"/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</x:row>
    <x:row r="8" ht="15" hidden="0" customHeight="1">
      <x:c r="A8" s="52" t="str">
        <x:v>Contact / maintainer</x:v>
      </x:c>
      <x:c r="B8" s="53" t="str">
        <x:v>Oladeji O. Ige</x:v>
      </x:c>
      <x:c r="C8" s="51"/>
      <x:c r="D8" s="51"/>
      <x:c r="E8" s="51"/>
      <x:c r="F8" s="51"/>
      <x:c r="G8" s="51"/>
      <x:c r="H8" s="51"/>
      <x:c r="I8" s="51"/>
      <x:c r="J8" s="51"/>
      <x:c r="K8" s="51"/>
      <x:c r="L8" s="51"/>
      <x:c r="M8" s="51"/>
      <x:c r="N8" s="51"/>
      <x:c r="O8" s="51"/>
      <x:c r="P8" s="51"/>
      <x:c r="Q8" s="51"/>
      <x:c r="R8" s="51"/>
      <x:c r="S8" s="51"/>
      <x:c r="T8" s="51"/>
      <x:c r="U8" s="51"/>
      <x:c r="V8" s="51"/>
      <x:c r="W8" s="51"/>
      <x:c r="X8" s="51"/>
      <x:c r="Y8" s="51"/>
      <x:c r="Z8" s="51"/>
    </x:row>
    <x:row r="9" ht="15" hidden="0" customHeight="1">
      <x:c r="A9" s="51"/>
      <x:c r="B9" s="51"/>
      <x:c r="C9" s="51"/>
      <x:c r="D9" s="51"/>
      <x:c r="E9" s="51"/>
      <x:c r="F9" s="51"/>
      <x:c r="G9" s="51"/>
      <x:c r="H9" s="51"/>
      <x:c r="I9" s="51"/>
      <x:c r="J9" s="51"/>
      <x:c r="K9" s="51"/>
      <x:c r="L9" s="51"/>
      <x:c r="M9" s="51"/>
      <x:c r="N9" s="51"/>
      <x:c r="O9" s="51"/>
      <x:c r="P9" s="51"/>
      <x:c r="Q9" s="51"/>
      <x:c r="R9" s="51"/>
      <x:c r="S9" s="51"/>
      <x:c r="T9" s="51"/>
      <x:c r="U9" s="51"/>
      <x:c r="V9" s="51"/>
      <x:c r="W9" s="51"/>
      <x:c r="X9" s="51"/>
      <x:c r="Y9" s="51"/>
      <x:c r="Z9" s="51"/>
    </x:row>
    <x:row r="10" ht="15" hidden="0" customHeight="1">
      <x:c r="A10" s="51"/>
      <x:c r="B10" s="51"/>
      <x:c r="C10" s="51"/>
      <x:c r="D10" s="51"/>
      <x:c r="E10" s="51"/>
      <x:c r="F10" s="51"/>
      <x:c r="G10" s="51"/>
      <x:c r="H10" s="51"/>
      <x:c r="I10" s="51"/>
      <x:c r="J10" s="51"/>
      <x:c r="K10" s="51"/>
      <x:c r="L10" s="51"/>
      <x:c r="M10" s="51"/>
      <x:c r="N10" s="51"/>
      <x:c r="O10" s="51"/>
      <x:c r="P10" s="51"/>
      <x:c r="Q10" s="51"/>
      <x:c r="R10" s="51"/>
      <x:c r="S10" s="51"/>
      <x:c r="T10" s="51"/>
      <x:c r="U10" s="51"/>
      <x:c r="V10" s="51"/>
      <x:c r="W10" s="51"/>
      <x:c r="X10" s="51"/>
      <x:c r="Y10" s="51"/>
      <x:c r="Z10" s="51"/>
    </x:row>
    <x:row r="11" ht="15" hidden="0" customHeight="1">
      <x:c r="A11" s="55" t="str">
        <x:v>Sheet</x:v>
      </x:c>
      <x:c r="B11" s="55" t="str">
        <x:v>Content</x:v>
      </x:c>
      <x:c r="C11" s="55" t="str">
        <x:v>How reviewer uses it</x:v>
      </x:c>
      <x:c r="D11" s="51"/>
      <x:c r="E11" s="51"/>
      <x:c r="F11" s="51"/>
      <x:c r="G11" s="51"/>
      <x:c r="H11" s="51"/>
      <x:c r="I11" s="51"/>
      <x:c r="J11" s="51"/>
      <x:c r="K11" s="51"/>
      <x:c r="L11" s="51"/>
      <x:c r="M11" s="51"/>
      <x:c r="N11" s="51"/>
      <x:c r="O11" s="51"/>
      <x:c r="P11" s="51"/>
      <x:c r="Q11" s="51"/>
      <x:c r="R11" s="51"/>
      <x:c r="S11" s="51"/>
      <x:c r="T11" s="51"/>
      <x:c r="U11" s="51"/>
      <x:c r="V11" s="51"/>
      <x:c r="W11" s="51"/>
      <x:c r="X11" s="51"/>
      <x:c r="Y11" s="51"/>
      <x:c r="Z11" s="51"/>
    </x:row>
    <x:row r="12" ht="15" hidden="0" customHeight="1">
      <x:c r="A12" s="53" t="str">
        <x:v>Corpus_Register</x:v>
      </x:c>
      <x:c r="B12" s="53" t="str">
        <x:v>Corpus-level metadata for policy documents, annual reports, reconciliation reports, case logs, transcripts, and benchmark datasets.</x:v>
      </x:c>
      <x:c r="C12" s="53" t="str">
        <x:v>Confirms what documents/data items were used and whether they are public, restricted, estimated, or synthetic.</x:v>
      </x:c>
      <x:c r="D12" s="51"/>
      <x:c r="E12" s="51"/>
      <x:c r="F12" s="51"/>
      <x:c r="G12" s="51"/>
      <x:c r="H12" s="51"/>
      <x:c r="I12" s="51"/>
      <x:c r="J12" s="51"/>
      <x:c r="K12" s="51"/>
      <x:c r="L12" s="51"/>
      <x:c r="M12" s="51"/>
      <x:c r="N12" s="51"/>
      <x:c r="O12" s="51"/>
      <x:c r="P12" s="51"/>
      <x:c r="Q12" s="51"/>
      <x:c r="R12" s="51"/>
      <x:c r="S12" s="51"/>
      <x:c r="T12" s="51"/>
      <x:c r="U12" s="51"/>
      <x:c r="V12" s="51"/>
      <x:c r="W12" s="51"/>
      <x:c r="X12" s="51"/>
      <x:c r="Y12" s="51"/>
      <x:c r="Z12" s="51"/>
    </x:row>
    <x:row r="13" ht="15" hidden="0" customHeight="1">
      <x:c r="A13" s="53" t="str">
        <x:v>Annotation_Codebook</x:v>
      </x:c>
      <x:c r="B13" s="53" t="str">
        <x:v>Variable definitions, coding categories, formulas, evidence rules, and validation logic.</x:v>
      </x:c>
      <x:c r="C13" s="53" t="str">
        <x:v>Allows independent replication of annotation decisions.</x:v>
      </x:c>
      <x:c r="D13" s="51"/>
      <x:c r="E13" s="51"/>
      <x:c r="F13" s="51"/>
      <x:c r="G13" s="51"/>
      <x:c r="H13" s="51"/>
      <x:c r="I13" s="51"/>
      <x:c r="J13" s="51"/>
      <x:c r="K13" s="51"/>
      <x:c r="L13" s="51"/>
      <x:c r="M13" s="51"/>
      <x:c r="N13" s="51"/>
      <x:c r="O13" s="51"/>
      <x:c r="P13" s="51"/>
      <x:c r="Q13" s="51"/>
      <x:c r="R13" s="51"/>
      <x:c r="S13" s="51"/>
      <x:c r="T13" s="51"/>
      <x:c r="U13" s="51"/>
      <x:c r="V13" s="51"/>
      <x:c r="W13" s="51"/>
      <x:c r="X13" s="51"/>
      <x:c r="Y13" s="51"/>
      <x:c r="Z13" s="51"/>
    </x:row>
    <x:row r="14" ht="15" hidden="0" customHeight="1">
      <x:c r="A14" s="53" t="str">
        <x:v>Data_Access_Log</x:v>
      </x:c>
      <x:c r="B14" s="53" t="str">
        <x:v>Access pathway, source URL, access condition, redistribution status, and replacement strategy.</x:v>
      </x:c>
      <x:c r="C14" s="53" t="str">
        <x:v>Clarifies how reviewers can obtain or approximate the same corpus.</x:v>
      </x:c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  <x:c r="O14" s="51"/>
      <x:c r="P14" s="51"/>
      <x:c r="Q14" s="51"/>
      <x:c r="R14" s="51"/>
      <x:c r="S14" s="51"/>
      <x:c r="T14" s="51"/>
      <x:c r="U14" s="51"/>
      <x:c r="V14" s="51"/>
      <x:c r="W14" s="51"/>
      <x:c r="X14" s="51"/>
      <x:c r="Y14" s="51"/>
      <x:c r="Z14" s="51"/>
    </x:row>
    <x:row r="15" ht="15" hidden="0" customHeight="1">
      <x:c r="A15" s="53" t="str">
        <x:v>Metric_Input_Data</x:v>
      </x:c>
      <x:c r="B15" s="53" t="str">
        <x:v>Illustrative AIMRA metric values for South Africa, Agbabu, Athabasca, Orinoco, and Utah.</x:v>
      </x:c>
      <x:c r="C15" s="53" t="str">
        <x:v>Provides transparent numerical inputs used for composite G calculations.</x:v>
      </x:c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  <x:c r="P15" s="51"/>
      <x:c r="Q15" s="51"/>
      <x:c r="R15" s="51"/>
      <x:c r="S15" s="51"/>
      <x:c r="T15" s="51"/>
      <x:c r="U15" s="51"/>
      <x:c r="V15" s="51"/>
      <x:c r="W15" s="51"/>
      <x:c r="X15" s="51"/>
      <x:c r="Y15" s="51"/>
      <x:c r="Z15" s="51"/>
    </x:row>
    <x:row r="16" ht="15" hidden="0" customHeight="1">
      <x:c r="A16" s="53" t="str">
        <x:v>Statutory_Rule_Encoding</x:v>
      </x:c>
      <x:c r="B16" s="53" t="str">
        <x:v>Machine-readable IF–THEN examples for statutory encoding and regulatory translation.</x:v>
      </x:c>
      <x:c r="C16" s="53" t="str">
        <x:v>Shows how Layer 3 translates legal provisions into auditable rule logic.</x:v>
      </x:c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  <x:c r="O16" s="51"/>
      <x:c r="P16" s="51"/>
      <x:c r="Q16" s="51"/>
      <x:c r="R16" s="51"/>
      <x:c r="S16" s="51"/>
      <x:c r="T16" s="51"/>
      <x:c r="U16" s="51"/>
      <x:c r="V16" s="51"/>
      <x:c r="W16" s="51"/>
      <x:c r="X16" s="51"/>
      <x:c r="Y16" s="51"/>
      <x:c r="Z16" s="51"/>
    </x:row>
    <x:row r="17" ht="15" hidden="0" customHeight="1">
      <x:c r="A17" s="53" t="str">
        <x:v>Quality_Control</x:v>
      </x:c>
      <x:c r="B17" s="53" t="str">
        <x:v>Annotation workflow, coder checks, inter-coder agreement fields, audit fields, and issue log.</x:v>
      </x:c>
      <x:c r="C17" s="53" t="str">
        <x:v>Documents reliability safeguards and review trail.</x:v>
      </x:c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  <x:c r="O17" s="51"/>
      <x:c r="P17" s="51"/>
      <x:c r="Q17" s="51"/>
      <x:c r="R17" s="51"/>
      <x:c r="S17" s="51"/>
      <x:c r="T17" s="51"/>
      <x:c r="U17" s="51"/>
      <x:c r="V17" s="51"/>
      <x:c r="W17" s="51"/>
      <x:c r="X17" s="51"/>
      <x:c r="Y17" s="51"/>
      <x:c r="Z17" s="51"/>
    </x:row>
    <x:row r="18" ht="15" hidden="0" customHeight="1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  <x:c r="O18" s="51"/>
      <x:c r="P18" s="51"/>
      <x:c r="Q18" s="51"/>
      <x:c r="R18" s="51"/>
      <x:c r="S18" s="51"/>
      <x:c r="T18" s="51"/>
      <x:c r="U18" s="51"/>
      <x:c r="V18" s="51"/>
      <x:c r="W18" s="51"/>
      <x:c r="X18" s="51"/>
      <x:c r="Y18" s="51"/>
      <x:c r="Z18" s="51"/>
    </x:row>
    <x:row r="19" ht="15" hidden="0" customHeight="1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  <x:c r="O19" s="51"/>
      <x:c r="P19" s="51"/>
      <x:c r="Q19" s="51"/>
      <x:c r="R19" s="51"/>
      <x:c r="S19" s="51"/>
      <x:c r="T19" s="51"/>
      <x:c r="U19" s="51"/>
      <x:c r="V19" s="51"/>
      <x:c r="W19" s="51"/>
      <x:c r="X19" s="51"/>
      <x:c r="Y19" s="51"/>
      <x:c r="Z19" s="51"/>
    </x:row>
    <x:row r="20" ht="15" hidden="0" customHeight="1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  <x:c r="P20" s="51"/>
      <x:c r="Q20" s="51"/>
      <x:c r="R20" s="51"/>
      <x:c r="S20" s="51"/>
      <x:c r="T20" s="51"/>
      <x:c r="U20" s="51"/>
      <x:c r="V20" s="51"/>
      <x:c r="W20" s="51"/>
      <x:c r="X20" s="51"/>
      <x:c r="Y20" s="51"/>
      <x:c r="Z20" s="51"/>
    </x:row>
    <x:row r="21" ht="15" hidden="0" customHeight="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  <x:c r="P21" s="51"/>
      <x:c r="Q21" s="51"/>
      <x:c r="R21" s="51"/>
      <x:c r="S21" s="51"/>
      <x:c r="T21" s="51"/>
      <x:c r="U21" s="51"/>
      <x:c r="V21" s="51"/>
      <x:c r="W21" s="51"/>
      <x:c r="X21" s="51"/>
      <x:c r="Y21" s="51"/>
      <x:c r="Z21" s="51"/>
    </x:row>
    <x:row r="22" ht="15" hidden="0" customHeight="1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  <x:c r="P22" s="51"/>
      <x:c r="Q22" s="51"/>
      <x:c r="R22" s="51"/>
      <x:c r="S22" s="51"/>
      <x:c r="T22" s="51"/>
      <x:c r="U22" s="51"/>
      <x:c r="V22" s="51"/>
      <x:c r="W22" s="51"/>
      <x:c r="X22" s="51"/>
      <x:c r="Y22" s="51"/>
      <x:c r="Z22" s="51"/>
    </x:row>
    <x:row r="23" ht="15" hidden="0" customHeight="1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  <x:c r="P23" s="51"/>
      <x:c r="Q23" s="51"/>
      <x:c r="R23" s="51"/>
      <x:c r="S23" s="51"/>
      <x:c r="T23" s="51"/>
      <x:c r="U23" s="51"/>
      <x:c r="V23" s="51"/>
      <x:c r="W23" s="51"/>
      <x:c r="X23" s="51"/>
      <x:c r="Y23" s="51"/>
      <x:c r="Z23" s="51"/>
    </x:row>
    <x:row r="24" ht="15" hidden="0" customHeight="1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  <x:c r="P24" s="51"/>
      <x:c r="Q24" s="51"/>
      <x:c r="R24" s="51"/>
      <x:c r="S24" s="51"/>
      <x:c r="T24" s="51"/>
      <x:c r="U24" s="51"/>
      <x:c r="V24" s="51"/>
      <x:c r="W24" s="51"/>
      <x:c r="X24" s="51"/>
      <x:c r="Y24" s="51"/>
      <x:c r="Z24" s="51"/>
    </x:row>
    <x:row r="25" ht="15" hidden="0" customHeight="1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  <x:c r="P25" s="51"/>
      <x:c r="Q25" s="51"/>
      <x:c r="R25" s="51"/>
      <x:c r="S25" s="51"/>
      <x:c r="T25" s="51"/>
      <x:c r="U25" s="51"/>
      <x:c r="V25" s="51"/>
      <x:c r="W25" s="51"/>
      <x:c r="X25" s="51"/>
      <x:c r="Y25" s="51"/>
      <x:c r="Z25" s="51"/>
    </x:row>
    <x:row r="26" ht="15" hidden="0" customHeight="1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  <x:c r="P26" s="51"/>
      <x:c r="Q26" s="51"/>
      <x:c r="R26" s="51"/>
      <x:c r="S26" s="51"/>
      <x:c r="T26" s="51"/>
      <x:c r="U26" s="51"/>
      <x:c r="V26" s="51"/>
      <x:c r="W26" s="51"/>
      <x:c r="X26" s="51"/>
      <x:c r="Y26" s="51"/>
      <x:c r="Z26" s="51"/>
    </x:row>
    <x:row r="27" ht="15" hidden="0" customHeight="1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  <x:c r="P27" s="51"/>
      <x:c r="Q27" s="51"/>
      <x:c r="R27" s="51"/>
      <x:c r="S27" s="51"/>
      <x:c r="T27" s="51"/>
      <x:c r="U27" s="51"/>
      <x:c r="V27" s="51"/>
      <x:c r="W27" s="51"/>
      <x:c r="X27" s="51"/>
      <x:c r="Y27" s="51"/>
      <x:c r="Z27" s="51"/>
    </x:row>
    <x:row r="28" ht="15" hidden="0" customHeight="1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  <x:c r="P28" s="51"/>
      <x:c r="Q28" s="51"/>
      <x:c r="R28" s="51"/>
      <x:c r="S28" s="51"/>
      <x:c r="T28" s="51"/>
      <x:c r="U28" s="51"/>
      <x:c r="V28" s="51"/>
      <x:c r="W28" s="51"/>
      <x:c r="X28" s="51"/>
      <x:c r="Y28" s="51"/>
      <x:c r="Z28" s="51"/>
    </x:row>
    <x:row r="29" ht="15" hidden="0" customHeight="1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  <x:c r="P29" s="51"/>
      <x:c r="Q29" s="51"/>
      <x:c r="R29" s="51"/>
      <x:c r="S29" s="51"/>
      <x:c r="T29" s="51"/>
      <x:c r="U29" s="51"/>
      <x:c r="V29" s="51"/>
      <x:c r="W29" s="51"/>
      <x:c r="X29" s="51"/>
      <x:c r="Y29" s="51"/>
      <x:c r="Z29" s="51"/>
    </x:row>
    <x:row r="30" ht="15" hidden="0" customHeight="1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  <x:c r="P30" s="51"/>
      <x:c r="Q30" s="51"/>
      <x:c r="R30" s="51"/>
      <x:c r="S30" s="51"/>
      <x:c r="T30" s="51"/>
      <x:c r="U30" s="51"/>
      <x:c r="V30" s="51"/>
      <x:c r="W30" s="51"/>
      <x:c r="X30" s="51"/>
      <x:c r="Y30" s="51"/>
      <x:c r="Z30" s="51"/>
    </x:row>
    <x:row r="31" ht="15" hidden="0" customHeight="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  <x:c r="P31" s="51"/>
      <x:c r="Q31" s="51"/>
      <x:c r="R31" s="51"/>
      <x:c r="S31" s="51"/>
      <x:c r="T31" s="51"/>
      <x:c r="U31" s="51"/>
      <x:c r="V31" s="51"/>
      <x:c r="W31" s="51"/>
      <x:c r="X31" s="51"/>
      <x:c r="Y31" s="51"/>
      <x:c r="Z31" s="51"/>
    </x:row>
    <x:row r="32" ht="15" hidden="0" customHeight="1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  <x:c r="P32" s="51"/>
      <x:c r="Q32" s="51"/>
      <x:c r="R32" s="51"/>
      <x:c r="S32" s="51"/>
      <x:c r="T32" s="51"/>
      <x:c r="U32" s="51"/>
      <x:c r="V32" s="51"/>
      <x:c r="W32" s="51"/>
      <x:c r="X32" s="51"/>
      <x:c r="Y32" s="51"/>
      <x:c r="Z32" s="51"/>
    </x:row>
    <x:row r="33" ht="15" hidden="0" customHeight="1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  <x:c r="P33" s="51"/>
      <x:c r="Q33" s="51"/>
      <x:c r="R33" s="51"/>
      <x:c r="S33" s="51"/>
      <x:c r="T33" s="51"/>
      <x:c r="U33" s="51"/>
      <x:c r="V33" s="51"/>
      <x:c r="W33" s="51"/>
      <x:c r="X33" s="51"/>
      <x:c r="Y33" s="51"/>
      <x:c r="Z33" s="51"/>
    </x:row>
    <x:row r="34" ht="15" hidden="0" customHeight="1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  <x:c r="P34" s="51"/>
      <x:c r="Q34" s="51"/>
      <x:c r="R34" s="51"/>
      <x:c r="S34" s="51"/>
      <x:c r="T34" s="51"/>
      <x:c r="U34" s="51"/>
      <x:c r="V34" s="51"/>
      <x:c r="W34" s="51"/>
      <x:c r="X34" s="51"/>
      <x:c r="Y34" s="51"/>
      <x:c r="Z34" s="51"/>
    </x:row>
    <x:row r="35" ht="15" hidden="0" customHeight="1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  <x:c r="P35" s="51"/>
      <x:c r="Q35" s="51"/>
      <x:c r="R35" s="51"/>
      <x:c r="S35" s="51"/>
      <x:c r="T35" s="51"/>
      <x:c r="U35" s="51"/>
      <x:c r="V35" s="51"/>
      <x:c r="W35" s="51"/>
      <x:c r="X35" s="51"/>
      <x:c r="Y35" s="51"/>
      <x:c r="Z35" s="51"/>
    </x:row>
    <x:row r="36" ht="15" hidden="0" customHeight="1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  <x:c r="P36" s="51"/>
      <x:c r="Q36" s="51"/>
      <x:c r="R36" s="51"/>
      <x:c r="S36" s="51"/>
      <x:c r="T36" s="51"/>
      <x:c r="U36" s="51"/>
      <x:c r="V36" s="51"/>
      <x:c r="W36" s="51"/>
      <x:c r="X36" s="51"/>
      <x:c r="Y36" s="51"/>
      <x:c r="Z36" s="51"/>
    </x:row>
    <x:row r="37" ht="15" hidden="0" customHeight="1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  <x:c r="P37" s="51"/>
      <x:c r="Q37" s="51"/>
      <x:c r="R37" s="51"/>
      <x:c r="S37" s="51"/>
      <x:c r="T37" s="51"/>
      <x:c r="U37" s="51"/>
      <x:c r="V37" s="51"/>
      <x:c r="W37" s="51"/>
      <x:c r="X37" s="51"/>
      <x:c r="Y37" s="51"/>
      <x:c r="Z37" s="51"/>
    </x:row>
    <x:row r="38" ht="15" hidden="0" customHeight="1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  <x:c r="P38" s="51"/>
      <x:c r="Q38" s="51"/>
      <x:c r="R38" s="51"/>
      <x:c r="S38" s="51"/>
      <x:c r="T38" s="51"/>
      <x:c r="U38" s="51"/>
      <x:c r="V38" s="51"/>
      <x:c r="W38" s="51"/>
      <x:c r="X38" s="51"/>
      <x:c r="Y38" s="51"/>
      <x:c r="Z38" s="51"/>
    </x:row>
    <x:row r="39" ht="15" hidden="0" customHeight="1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  <x:c r="P39" s="51"/>
      <x:c r="Q39" s="51"/>
      <x:c r="R39" s="51"/>
      <x:c r="S39" s="51"/>
      <x:c r="T39" s="51"/>
      <x:c r="U39" s="51"/>
      <x:c r="V39" s="51"/>
      <x:c r="W39" s="51"/>
      <x:c r="X39" s="51"/>
      <x:c r="Y39" s="51"/>
      <x:c r="Z39" s="51"/>
    </x:row>
    <x:row r="40" ht="15" hidden="0" customHeight="1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  <x:c r="P40" s="51"/>
      <x:c r="Q40" s="51"/>
      <x:c r="R40" s="51"/>
      <x:c r="S40" s="51"/>
      <x:c r="T40" s="51"/>
      <x:c r="U40" s="51"/>
      <x:c r="V40" s="51"/>
      <x:c r="W40" s="51"/>
      <x:c r="X40" s="51"/>
      <x:c r="Y40" s="51"/>
      <x:c r="Z40" s="51"/>
    </x:row>
    <x:row r="41" ht="15" hidden="0" customHeight="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  <x:c r="P41" s="51"/>
      <x:c r="Q41" s="51"/>
      <x:c r="R41" s="51"/>
      <x:c r="S41" s="51"/>
      <x:c r="T41" s="51"/>
      <x:c r="U41" s="51"/>
      <x:c r="V41" s="51"/>
      <x:c r="W41" s="51"/>
      <x:c r="X41" s="51"/>
      <x:c r="Y41" s="51"/>
      <x:c r="Z41" s="51"/>
    </x:row>
    <x:row r="42" ht="15" hidden="0" customHeight="1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  <x:c r="P42" s="51"/>
      <x:c r="Q42" s="51"/>
      <x:c r="R42" s="51"/>
      <x:c r="S42" s="51"/>
      <x:c r="T42" s="51"/>
      <x:c r="U42" s="51"/>
      <x:c r="V42" s="51"/>
      <x:c r="W42" s="51"/>
      <x:c r="X42" s="51"/>
      <x:c r="Y42" s="51"/>
      <x:c r="Z42" s="51"/>
    </x:row>
    <x:row r="43" ht="15" hidden="0" customHeight="1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  <x:c r="P43" s="51"/>
      <x:c r="Q43" s="51"/>
      <x:c r="R43" s="51"/>
      <x:c r="S43" s="51"/>
      <x:c r="T43" s="51"/>
      <x:c r="U43" s="51"/>
      <x:c r="V43" s="51"/>
      <x:c r="W43" s="51"/>
      <x:c r="X43" s="51"/>
      <x:c r="Y43" s="51"/>
      <x:c r="Z43" s="51"/>
    </x:row>
    <x:row r="44" ht="15" hidden="0" customHeight="1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  <x:c r="P44" s="51"/>
      <x:c r="Q44" s="51"/>
      <x:c r="R44" s="51"/>
      <x:c r="S44" s="51"/>
      <x:c r="T44" s="51"/>
      <x:c r="U44" s="51"/>
      <x:c r="V44" s="51"/>
      <x:c r="W44" s="51"/>
      <x:c r="X44" s="51"/>
      <x:c r="Y44" s="51"/>
      <x:c r="Z44" s="51"/>
    </x:row>
    <x:row r="45" ht="15" hidden="0" customHeight="1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  <x:c r="P45" s="51"/>
      <x:c r="Q45" s="51"/>
      <x:c r="R45" s="51"/>
      <x:c r="S45" s="51"/>
      <x:c r="T45" s="51"/>
      <x:c r="U45" s="51"/>
      <x:c r="V45" s="51"/>
      <x:c r="W45" s="51"/>
      <x:c r="X45" s="51"/>
      <x:c r="Y45" s="51"/>
      <x:c r="Z45" s="51"/>
    </x:row>
    <x:row r="46" ht="15" hidden="0" customHeight="1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  <x:c r="P46" s="51"/>
      <x:c r="Q46" s="51"/>
      <x:c r="R46" s="51"/>
      <x:c r="S46" s="51"/>
      <x:c r="T46" s="51"/>
      <x:c r="U46" s="51"/>
      <x:c r="V46" s="51"/>
      <x:c r="W46" s="51"/>
      <x:c r="X46" s="51"/>
      <x:c r="Y46" s="51"/>
      <x:c r="Z46" s="51"/>
    </x:row>
    <x:row r="47" ht="15" hidden="0" customHeight="1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  <x:c r="P47" s="51"/>
      <x:c r="Q47" s="51"/>
      <x:c r="R47" s="51"/>
      <x:c r="S47" s="51"/>
      <x:c r="T47" s="51"/>
      <x:c r="U47" s="51"/>
      <x:c r="V47" s="51"/>
      <x:c r="W47" s="51"/>
      <x:c r="X47" s="51"/>
      <x:c r="Y47" s="51"/>
      <x:c r="Z47" s="51"/>
    </x:row>
    <x:row r="48" ht="15" hidden="0" customHeight="1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  <x:c r="P48" s="51"/>
      <x:c r="Q48" s="51"/>
      <x:c r="R48" s="51"/>
      <x:c r="S48" s="51"/>
      <x:c r="T48" s="51"/>
      <x:c r="U48" s="51"/>
      <x:c r="V48" s="51"/>
      <x:c r="W48" s="51"/>
      <x:c r="X48" s="51"/>
      <x:c r="Y48" s="51"/>
      <x:c r="Z48" s="51"/>
    </x:row>
    <x:row r="49" ht="15" hidden="0" customHeight="1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  <x:c r="P49" s="51"/>
      <x:c r="Q49" s="51"/>
      <x:c r="R49" s="51"/>
      <x:c r="S49" s="51"/>
      <x:c r="T49" s="51"/>
      <x:c r="U49" s="51"/>
      <x:c r="V49" s="51"/>
      <x:c r="W49" s="51"/>
      <x:c r="X49" s="51"/>
      <x:c r="Y49" s="51"/>
      <x:c r="Z49" s="51"/>
    </x:row>
    <x:row r="50" ht="15" hidden="0" customHeight="1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  <x:c r="P50" s="51"/>
      <x:c r="Q50" s="51"/>
      <x:c r="R50" s="51"/>
      <x:c r="S50" s="51"/>
      <x:c r="T50" s="51"/>
      <x:c r="U50" s="51"/>
      <x:c r="V50" s="51"/>
      <x:c r="W50" s="51"/>
      <x:c r="X50" s="51"/>
      <x:c r="Y50" s="51"/>
      <x:c r="Z50" s="51"/>
    </x:row>
    <x:row r="51" ht="15" hidden="0" customHeight="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  <x:c r="O51" s="51"/>
      <x:c r="P51" s="51"/>
      <x:c r="Q51" s="51"/>
      <x:c r="R51" s="51"/>
      <x:c r="S51" s="51"/>
      <x:c r="T51" s="51"/>
      <x:c r="U51" s="51"/>
      <x:c r="V51" s="51"/>
      <x:c r="W51" s="51"/>
      <x:c r="X51" s="51"/>
      <x:c r="Y51" s="51"/>
      <x:c r="Z51" s="51"/>
    </x:row>
    <x:row r="52" ht="15" hidden="0" customHeight="1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  <x:c r="N52" s="51"/>
      <x:c r="O52" s="51"/>
      <x:c r="P52" s="51"/>
      <x:c r="Q52" s="51"/>
      <x:c r="R52" s="51"/>
      <x:c r="S52" s="51"/>
      <x:c r="T52" s="51"/>
      <x:c r="U52" s="51"/>
      <x:c r="V52" s="51"/>
      <x:c r="W52" s="51"/>
      <x:c r="X52" s="51"/>
      <x:c r="Y52" s="51"/>
      <x:c r="Z52" s="51"/>
    </x:row>
    <x:row r="53" ht="15" hidden="0" customHeight="1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  <x:c r="N53" s="51"/>
      <x:c r="O53" s="51"/>
      <x:c r="P53" s="51"/>
      <x:c r="Q53" s="51"/>
      <x:c r="R53" s="51"/>
      <x:c r="S53" s="51"/>
      <x:c r="T53" s="51"/>
      <x:c r="U53" s="51"/>
      <x:c r="V53" s="51"/>
      <x:c r="W53" s="51"/>
      <x:c r="X53" s="51"/>
      <x:c r="Y53" s="51"/>
      <x:c r="Z53" s="51"/>
    </x:row>
    <x:row r="54" ht="15" hidden="0" customHeight="1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  <x:c r="O54" s="51"/>
      <x:c r="P54" s="51"/>
      <x:c r="Q54" s="51"/>
      <x:c r="R54" s="51"/>
      <x:c r="S54" s="51"/>
      <x:c r="T54" s="51"/>
      <x:c r="U54" s="51"/>
      <x:c r="V54" s="51"/>
      <x:c r="W54" s="51"/>
      <x:c r="X54" s="51"/>
      <x:c r="Y54" s="51"/>
      <x:c r="Z54" s="51"/>
    </x:row>
    <x:row r="55" ht="15" hidden="0" customHeight="1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  <x:c r="O55" s="51"/>
      <x:c r="P55" s="51"/>
      <x:c r="Q55" s="51"/>
      <x:c r="R55" s="51"/>
      <x:c r="S55" s="51"/>
      <x:c r="T55" s="51"/>
      <x:c r="U55" s="51"/>
      <x:c r="V55" s="51"/>
      <x:c r="W55" s="51"/>
      <x:c r="X55" s="51"/>
      <x:c r="Y55" s="51"/>
      <x:c r="Z55" s="51"/>
    </x:row>
    <x:row r="56" ht="15" hidden="0" customHeight="1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  <x:c r="O56" s="51"/>
      <x:c r="P56" s="51"/>
      <x:c r="Q56" s="51"/>
      <x:c r="R56" s="51"/>
      <x:c r="S56" s="51"/>
      <x:c r="T56" s="51"/>
      <x:c r="U56" s="51"/>
      <x:c r="V56" s="51"/>
      <x:c r="W56" s="51"/>
      <x:c r="X56" s="51"/>
      <x:c r="Y56" s="51"/>
      <x:c r="Z56" s="51"/>
    </x:row>
    <x:row r="57" ht="15" hidden="0" customHeight="1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  <x:c r="O57" s="51"/>
      <x:c r="P57" s="51"/>
      <x:c r="Q57" s="51"/>
      <x:c r="R57" s="51"/>
      <x:c r="S57" s="51"/>
      <x:c r="T57" s="51"/>
      <x:c r="U57" s="51"/>
      <x:c r="V57" s="51"/>
      <x:c r="W57" s="51"/>
      <x:c r="X57" s="51"/>
      <x:c r="Y57" s="51"/>
      <x:c r="Z57" s="51"/>
    </x:row>
    <x:row r="58" ht="15" hidden="0" customHeight="1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  <x:c r="O58" s="51"/>
      <x:c r="P58" s="51"/>
      <x:c r="Q58" s="51"/>
      <x:c r="R58" s="51"/>
      <x:c r="S58" s="51"/>
      <x:c r="T58" s="51"/>
      <x:c r="U58" s="51"/>
      <x:c r="V58" s="51"/>
      <x:c r="W58" s="51"/>
      <x:c r="X58" s="51"/>
      <x:c r="Y58" s="51"/>
      <x:c r="Z58" s="51"/>
    </x:row>
    <x:row r="59" ht="15" hidden="0" customHeight="1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  <x:c r="O59" s="51"/>
      <x:c r="P59" s="51"/>
      <x:c r="Q59" s="51"/>
      <x:c r="R59" s="51"/>
      <x:c r="S59" s="51"/>
      <x:c r="T59" s="51"/>
      <x:c r="U59" s="51"/>
      <x:c r="V59" s="51"/>
      <x:c r="W59" s="51"/>
      <x:c r="X59" s="51"/>
      <x:c r="Y59" s="51"/>
      <x:c r="Z59" s="51"/>
    </x:row>
    <x:row r="60" ht="15" hidden="0" customHeight="1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  <x:c r="O60" s="51"/>
      <x:c r="P60" s="51"/>
      <x:c r="Q60" s="51"/>
      <x:c r="R60" s="51"/>
      <x:c r="S60" s="51"/>
      <x:c r="T60" s="51"/>
      <x:c r="U60" s="51"/>
      <x:c r="V60" s="51"/>
      <x:c r="W60" s="51"/>
      <x:c r="X60" s="51"/>
      <x:c r="Y60" s="51"/>
      <x:c r="Z60" s="51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18" hidden="0" customWidth="1"/>
    <x:col min="5" max="5" width="16" hidden="0" customWidth="1"/>
    <x:col min="6" max="6" width="18" hidden="0" customWidth="1"/>
    <x:col min="7" max="7" width="18" hidden="0" customWidth="1"/>
    <x:col min="8" max="8" width="20" hidden="0" customWidth="1"/>
    <x:col min="9" max="9" width="24" hidden="0" customWidth="1"/>
    <x:col min="10" max="10" width="32" hidden="0" customWidth="1"/>
    <x:col min="11" max="11" width="32" hidden="0" customWidth="1"/>
    <x:col min="12" max="12" width="32" hidden="0" customWidth="1"/>
    <x:col min="13" max="13" width="26" hidden="0" customWidth="1"/>
    <x:col min="14" max="14" width="36" hidden="0" customWidth="1"/>
    <x:col min="15" max="15" width="32" hidden="0" customWidth="1"/>
    <x:col min="16" max="16" width="38" hidden="0" customWidth="1"/>
  </x:cols>
  <x:sheetData>
    <x:row r="1" ht="15" hidden="0" customHeight="1">
      <x:c r="A1" s="64" t="str">
        <x:v>Corpus_ID</x:v>
      </x:c>
      <x:c r="B1" s="64" t="str">
        <x:v>Document_or_Dataset</x:v>
      </x:c>
      <x:c r="C1" s="64" t="str">
        <x:v>Jurisdiction</x:v>
      </x:c>
      <x:c r="D1" s="64" t="str">
        <x:v>Corpus_Type</x:v>
      </x:c>
      <x:c r="E1" s="64" t="str">
        <x:v>AIMRA_Layer</x:v>
      </x:c>
      <x:c r="F1" s="64" t="str">
        <x:v>Time_Coverage</x:v>
      </x:c>
      <x:c r="G1" s="64" t="str">
        <x:v>Data_Status</x:v>
      </x:c>
      <x:c r="H1" s="64" t="str">
        <x:v>Access_Level</x:v>
      </x:c>
      <x:c r="I1" s="64" t="str">
        <x:v>Primary_Use</x:v>
      </x:c>
      <x:c r="J1" s="64" t="str">
        <x:v>Key_Variables</x:v>
      </x:c>
      <x:c r="K1" s="64" t="str">
        <x:v>Public_URL_or_Source</x:v>
      </x:c>
      <x:c r="L1" s="64" t="str">
        <x:v>Citation_or_Source_Note</x:v>
      </x:c>
      <x:c r="M1" s="64" t="str">
        <x:v>Redistribution_Action</x:v>
      </x:c>
      <x:c r="N1" s="64" t="str">
        <x:v>Reviewer_Replication_Note</x:v>
      </x:c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 ht="15" hidden="0" customHeight="1">
      <x:c r="A2" s="51" t="str">
        <x:v>CR-001</x:v>
      </x:c>
      <x:c r="B2" s="51" t="str">
        <x:v>DMRE Annual Report 2021/22</x:v>
      </x:c>
      <x:c r="C2" s="51" t="str">
        <x:v>South Africa</x:v>
      </x:c>
      <x:c r="D2" s="51" t="str">
        <x:v>Annual report / regulatory records</x:v>
      </x:c>
      <x:c r="E2" s="51" t="str">
        <x:v>Layer 2, Layer 3</x:v>
      </x:c>
      <x:c r="F2" s="51" t="str">
        <x:v>2021/22</x:v>
      </x:c>
      <x:c r="G2" s="51" t="str">
        <x:v>Measured / cited</x:v>
      </x:c>
      <x:c r="H2" s="51" t="str">
        <x:v>Public</x:v>
      </x:c>
      <x:c r="I2" s="51" t="str">
        <x:v>Baseline latency, inspection and enforcement context</x:v>
      </x:c>
      <x:c r="J2" s="51" t="str">
        <x:v>RLI, CDR, RCS</x:v>
      </x:c>
      <x:c r="K2" s="51" t="str">
        <x:v>https://www.dmr.gov.za/</x:v>
      </x:c>
      <x:c r="L2" s="51" t="str">
        <x:v>Department of Mineral Resources and Energy annual reporting used for illustrative South Africa application.</x:v>
      </x:c>
      <x:c r="M2" s="51" t="str">
        <x:v>Provide public link and citation only</x:v>
      </x:c>
      <x:c r="N2" s="51" t="str">
        <x:v>Reviewer can download from DMRE website or request from DMRE archive.</x:v>
      </x:c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</x:row>
    <x:row r="3" ht="15" hidden="0" customHeight="1">
      <x:c r="A3" s="51" t="str">
        <x:v>CR-002</x:v>
      </x:c>
      <x:c r="B3" s="51" t="str">
        <x:v>EITI South Africa Reconciliation Report 2022</x:v>
      </x:c>
      <x:c r="C3" s="51" t="str">
        <x:v>South Africa</x:v>
      </x:c>
      <x:c r="D3" s="51" t="str">
        <x:v>Reconciliation report</x:v>
      </x:c>
      <x:c r="E3" s="51" t="str">
        <x:v>Layer 1, Layer 2</x:v>
      </x:c>
      <x:c r="F3" s="51" t="str">
        <x:v>2022</x:v>
      </x:c>
      <x:c r="G3" s="51" t="str">
        <x:v>Measured / cited</x:v>
      </x:c>
      <x:c r="H3" s="51" t="str">
        <x:v>Public</x:v>
      </x:c>
      <x:c r="I3" s="51" t="str">
        <x:v>Revenue reconciliation and leakage context</x:v>
      </x:c>
      <x:c r="J3" s="51" t="str">
        <x:v>RLR, CDR</x:v>
      </x:c>
      <x:c r="K3" s="51" t="str">
        <x:v>https://eiti.org/countries/south-africa</x:v>
      </x:c>
      <x:c r="L3" s="51" t="str">
        <x:v>EITI country reconciliation report used for revenue governance triangulation.</x:v>
      </x:c>
      <x:c r="M3" s="51" t="str">
        <x:v>Provide public link and citation only</x:v>
      </x:c>
      <x:c r="N3" s="51" t="str">
        <x:v>Use EITI country page to retrieve report.</x:v>
      </x:c>
      <x:c r="O3" s="51"/>
      <x:c r="P3" s="51"/>
      <x:c r="Q3" s="51"/>
      <x:c r="R3" s="51"/>
      <x:c r="S3" s="51"/>
      <x:c r="T3" s="51"/>
      <x:c r="U3" s="51"/>
      <x:c r="V3" s="51"/>
      <x:c r="W3" s="51"/>
      <x:c r="X3" s="51"/>
      <x:c r="Y3" s="51"/>
      <x:c r="Z3" s="51"/>
    </x:row>
    <x:row r="4" ht="15" hidden="0" customHeight="1">
      <x:c r="A4" s="51" t="str">
        <x:v>CR-003</x:v>
      </x:c>
      <x:c r="B4" s="51" t="str">
        <x:v>AfDB Revenue Governance Index 2022</x:v>
      </x:c>
      <x:c r="C4" s="51" t="str">
        <x:v>Africa / South Africa / Nigeria</x:v>
      </x:c>
      <x:c r="D4" s="51" t="str">
        <x:v>Governance index</x:v>
      </x:c>
      <x:c r="E4" s="51" t="str">
        <x:v>Layer 1, Layer 4</x:v>
      </x:c>
      <x:c r="F4" s="51" t="str">
        <x:v>2022</x:v>
      </x:c>
      <x:c r="G4" s="51" t="str">
        <x:v>Estimated / cited</x:v>
      </x:c>
      <x:c r="H4" s="51" t="str">
        <x:v>Public</x:v>
      </x:c>
      <x:c r="I4" s="51" t="str">
        <x:v>Revenue governance benchmark and cross-country context</x:v>
      </x:c>
      <x:c r="J4" s="51" t="str">
        <x:v>RLR, AAI</x:v>
      </x:c>
      <x:c r="K4" s="51" t="str">
        <x:v>https://www.afdb.org/</x:v>
      </x:c>
      <x:c r="L4" s="51" t="str">
        <x:v>AfDB governance data used as benchmark or trajectory source.</x:v>
      </x:c>
      <x:c r="M4" s="51" t="str">
        <x:v>Provide public link and citation only</x:v>
      </x:c>
      <x:c r="N4" s="51" t="str">
        <x:v>Use AfDB publication portal; record exact file title/date when downloaded.</x:v>
      </x:c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 ht="15" hidden="0" customHeight="1">
      <x:c r="A5" s="51" t="str">
        <x:v>CR-004</x:v>
      </x:c>
      <x:c r="B5" s="51" t="str">
        <x:v>World Bank Worldwide Governance Indicators</x:v>
      </x:c>
      <x:c r="C5" s="51" t="str">
        <x:v>Nigeria / South Africa / Venezuela</x:v>
      </x:c>
      <x:c r="D5" s="51" t="str">
        <x:v>Governance index</x:v>
      </x:c>
      <x:c r="E5" s="51" t="str">
        <x:v>Layer 3, Layer 4</x:v>
      </x:c>
      <x:c r="F5" s="51" t="str">
        <x:v>2022</x:v>
      </x:c>
      <x:c r="G5" s="51" t="str">
        <x:v>Measured / cited</x:v>
      </x:c>
      <x:c r="H5" s="51" t="str">
        <x:v>Public</x:v>
      </x:c>
      <x:c r="I5" s="51" t="str">
        <x:v>Rule-of-law proxy for decision stability</x:v>
      </x:c>
      <x:c r="J5" s="51" t="str">
        <x:v>RCS</x:v>
      </x:c>
      <x:c r="K5" s="51" t="str">
        <x:v>https://info.worldbank.org/governance/wgi/</x:v>
      </x:c>
      <x:c r="L5" s="51" t="str">
        <x:v>WGI Rule of Law used as proxy input where regulatory registers are unavailable.</x:v>
      </x:c>
      <x:c r="M5" s="51" t="str">
        <x:v>Provide URL and extraction date</x:v>
      </x:c>
      <x:c r="N5" s="51" t="str">
        <x:v>Reviewer can reproduce WGI values from World Bank portal.</x:v>
      </x:c>
      <x:c r="O5" s="51"/>
      <x:c r="P5" s="51"/>
      <x:c r="Q5" s="51"/>
      <x:c r="R5" s="51"/>
      <x:c r="S5" s="51"/>
      <x:c r="T5" s="51"/>
      <x:c r="U5" s="51"/>
      <x:c r="V5" s="51"/>
      <x:c r="W5" s="51"/>
      <x:c r="X5" s="51"/>
      <x:c r="Y5" s="51"/>
      <x:c r="Z5" s="51"/>
    </x:row>
    <x:row r="6" ht="15" hidden="0" customHeight="1">
      <x:c r="A6" s="51" t="str">
        <x:v>CR-005</x:v>
      </x:c>
      <x:c r="B6" s="51" t="str">
        <x:v>NEITI Solid Minerals Annual Report 2022</x:v>
      </x:c>
      <x:c r="C6" s="51" t="str">
        <x:v>Nigeria</x:v>
      </x:c>
      <x:c r="D6" s="51" t="str">
        <x:v>Reconciliation / sector report</x:v>
      </x:c>
      <x:c r="E6" s="51" t="str">
        <x:v>Layer 1, Layer 2, Layer 3</x:v>
      </x:c>
      <x:c r="F6" s="51" t="str">
        <x:v>2022</x:v>
      </x:c>
      <x:c r="G6" s="51" t="str">
        <x:v>Partly measured / estimated</x:v>
      </x:c>
      <x:c r="H6" s="51" t="str">
        <x:v>Public</x:v>
      </x:c>
      <x:c r="I6" s="51" t="str">
        <x:v>Agbabu and Nigerian solid minerals baseline triangulation</x:v>
      </x:c>
      <x:c r="J6" s="51" t="str">
        <x:v>RLI, CDR, RLR, RCS</x:v>
      </x:c>
      <x:c r="K6" s="51" t="str">
        <x:v>https://neiti.gov.ng/</x:v>
      </x:c>
      <x:c r="L6" s="51" t="str">
        <x:v>NEITI report used for Nigerian solid minerals reconciliation and governance context.</x:v>
      </x:c>
      <x:c r="M6" s="51" t="str">
        <x:v>Provide public link and citation only</x:v>
      </x:c>
      <x:c r="N6" s="51" t="str">
        <x:v>Reviewer can download from NEITI publications page.</x:v>
      </x:c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</x:row>
    <x:row r="7" ht="15" hidden="0" customHeight="1">
      <x:c r="A7" s="51" t="str">
        <x:v>CR-006</x:v>
      </x:c>
      <x:c r="B7" s="51" t="str">
        <x:v>Ondo State environmental inspection records</x:v>
      </x:c>
      <x:c r="C7" s="51" t="str">
        <x:v>Nigeria / Ondo State</x:v>
      </x:c>
      <x:c r="D7" s="51" t="str">
        <x:v>Inspection records</x:v>
      </x:c>
      <x:c r="E7" s="51" t="str">
        <x:v>Layer 2, Layer 4</x:v>
      </x:c>
      <x:c r="F7" s="51" t="str">
        <x:v>Approx. 2020–2025</x:v>
      </x:c>
      <x:c r="G7" s="51" t="str">
        <x:v>Restricted / pending access</x:v>
      </x:c>
      <x:c r="H7" s="51" t="str">
        <x:v>Restricted</x:v>
      </x:c>
      <x:c r="I7" s="51" t="str">
        <x:v>Agbabu compliance-detection calibration</x:v>
      </x:c>
      <x:c r="J7" s="51" t="str">
        <x:v>CDR, AAI</x:v>
      </x:c>
      <x:c r="K7" s="51" t="str">
        <x:v>Restricted government records; request through Ondo State Ministry of Environment</x:v>
      </x:c>
      <x:c r="L7" s="51" t="str">
        <x:v>Used as Stage 2 calibration target; not redistributed in Stage 1.</x:v>
      </x:c>
      <x:c r="M7" s="51" t="str">
        <x:v>Do not redistribute; provide request template and metadata fields only</x:v>
      </x:c>
      <x:c r="N7" s="51" t="str">
        <x:v>Reviewer should use public NEITI proxies or request institutional access.</x:v>
      </x:c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</x:row>
    <x:row r="8" ht="15" hidden="0" customHeight="1">
      <x:c r="A8" s="51" t="str">
        <x:v>CR-007</x:v>
      </x:c>
      <x:c r="B8" s="51" t="str">
        <x:v>NUPRC enforcement case logs for bitumen / tar sands</x:v>
      </x:c>
      <x:c r="C8" s="51" t="str">
        <x:v>Nigeria</x:v>
      </x:c>
      <x:c r="D8" s="51" t="str">
        <x:v>Regulatory case logs</x:v>
      </x:c>
      <x:c r="E8" s="51" t="str">
        <x:v>Layer 2, Layer 3</x:v>
      </x:c>
      <x:c r="F8" s="51" t="str">
        <x:v>Approx. 2020–2025</x:v>
      </x:c>
      <x:c r="G8" s="51" t="str">
        <x:v>Restricted / pending access</x:v>
      </x:c>
      <x:c r="H8" s="51" t="str">
        <x:v>Restricted</x:v>
      </x:c>
      <x:c r="I8" s="51" t="str">
        <x:v>RLI and statutory-action validation</x:v>
      </x:c>
      <x:c r="J8" s="51" t="str">
        <x:v>RLI, RCS</x:v>
      </x:c>
      <x:c r="K8" s="51" t="str">
        <x:v>Restricted regulator records; request through NUPRC</x:v>
      </x:c>
      <x:c r="L8" s="51" t="str">
        <x:v>Stage 2 empirical validation data; unavailable for public replication at Stage 1.</x:v>
      </x:c>
      <x:c r="M8" s="51" t="str">
        <x:v>Do not redistribute; use anonymised metadata schema</x:v>
      </x:c>
      <x:c r="N8" s="51" t="str">
        <x:v>Reviewer can reproduce Stage 1 calculations using proxy values in Metric_Input_Data.</x:v>
      </x:c>
      <x:c r="O8" s="51"/>
      <x:c r="P8" s="51"/>
      <x:c r="Q8" s="51"/>
      <x:c r="R8" s="51"/>
      <x:c r="S8" s="51"/>
      <x:c r="T8" s="51"/>
      <x:c r="U8" s="51"/>
      <x:c r="V8" s="51"/>
      <x:c r="W8" s="51"/>
      <x:c r="X8" s="51"/>
      <x:c r="Y8" s="51"/>
      <x:c r="Z8" s="51"/>
    </x:row>
    <x:row r="9" ht="15" hidden="0" customHeight="1">
      <x:c r="A9" s="51" t="str">
        <x:v>CR-008</x:v>
      </x:c>
      <x:c r="B9" s="51" t="str">
        <x:v>Nigerian Minerals and Mining Act 2007</x:v>
      </x:c>
      <x:c r="C9" s="51" t="str">
        <x:v>Nigeria</x:v>
      </x:c>
      <x:c r="D9" s="51" t="str">
        <x:v>Statutory text</x:v>
      </x:c>
      <x:c r="E9" s="51" t="str">
        <x:v>Layer 3</x:v>
      </x:c>
      <x:c r="F9" s="51" t="str">
        <x:v>2007 onward</x:v>
      </x:c>
      <x:c r="G9" s="51" t="str">
        <x:v>Public legal text</x:v>
      </x:c>
      <x:c r="H9" s="51" t="str">
        <x:v>Public</x:v>
      </x:c>
      <x:c r="I9" s="51" t="str">
        <x:v>Statutory rule encoding and legal constraints</x:v>
      </x:c>
      <x:c r="J9" s="51" t="str">
        <x:v>IF–THEN thresholds, responsible authority</x:v>
      </x:c>
      <x:c r="K9" s="51" t="str">
        <x:v>https://www.lawnigeria.com/</x:v>
      </x:c>
      <x:c r="L9" s="51" t="str">
        <x:v>Statutory provisions to be encoded by legal informatics review.</x:v>
      </x:c>
      <x:c r="M9" s="51" t="str">
        <x:v>Provide citation/link; encode only excerpts within fair-use limits</x:v>
      </x:c>
      <x:c r="N9" s="51" t="str">
        <x:v>Reviewer can verify encoded rules against official legal text.</x:v>
      </x:c>
      <x:c r="O9" s="51"/>
      <x:c r="P9" s="51"/>
      <x:c r="Q9" s="51"/>
      <x:c r="R9" s="51"/>
      <x:c r="S9" s="51"/>
      <x:c r="T9" s="51"/>
      <x:c r="U9" s="51"/>
      <x:c r="V9" s="51"/>
      <x:c r="W9" s="51"/>
      <x:c r="X9" s="51"/>
      <x:c r="Y9" s="51"/>
      <x:c r="Z9" s="51"/>
    </x:row>
    <x:row r="10" ht="15" hidden="0" customHeight="1">
      <x:c r="A10" s="51" t="str">
        <x:v>CR-009</x:v>
      </x:c>
      <x:c r="B10" s="51" t="str">
        <x:v>Petroleum Industry Act 2021</x:v>
      </x:c>
      <x:c r="C10" s="51" t="str">
        <x:v>Nigeria</x:v>
      </x:c>
      <x:c r="D10" s="51" t="str">
        <x:v>Statutory text</x:v>
      </x:c>
      <x:c r="E10" s="51" t="str">
        <x:v>Layer 3</x:v>
      </x:c>
      <x:c r="F10" s="51" t="str">
        <x:v>2021 onward</x:v>
      </x:c>
      <x:c r="G10" s="51" t="str">
        <x:v>Public legal text</x:v>
      </x:c>
      <x:c r="H10" s="51" t="str">
        <x:v>Public</x:v>
      </x:c>
      <x:c r="I10" s="51" t="str">
        <x:v>Natural bitumen jurisdictional boundary and regulatory constraint encoding</x:v>
      </x:c>
      <x:c r="J10" s="51" t="str">
        <x:v>Jurisdictional rules, compliance triggers</x:v>
      </x:c>
      <x:c r="K10" s="51" t="str">
        <x:v>https://www.nuprc.gov.ng/</x:v>
      </x:c>
      <x:c r="L10" s="51" t="str">
        <x:v>Relevant to jurisdictional ambiguity around bitumen/tar sands.</x:v>
      </x:c>
      <x:c r="M10" s="51" t="str">
        <x:v>Provide citation/link; encode only excerpts within fair-use limits</x:v>
      </x:c>
      <x:c r="N10" s="51" t="str">
        <x:v>Reviewer can verify encoded rules against official legal text.</x:v>
      </x:c>
      <x:c r="O10" s="51"/>
      <x:c r="P10" s="51"/>
      <x:c r="Q10" s="51"/>
      <x:c r="R10" s="51"/>
      <x:c r="S10" s="51"/>
      <x:c r="T10" s="51"/>
      <x:c r="U10" s="51"/>
      <x:c r="V10" s="51"/>
      <x:c r="W10" s="51"/>
      <x:c r="X10" s="51"/>
      <x:c r="Y10" s="51"/>
      <x:c r="Z10" s="51"/>
    </x:row>
    <x:row r="11" ht="15" hidden="0" customHeight="1">
      <x:c r="A11" s="51" t="str">
        <x:v>CR-010</x:v>
      </x:c>
      <x:c r="B11" s="51" t="str">
        <x:v>Alberta Energy Regulator / Athabasca public records</x:v>
      </x:c>
      <x:c r="C11" s="51" t="str">
        <x:v>Canada</x:v>
      </x:c>
      <x:c r="D11" s="51" t="str">
        <x:v>Benchmark regulatory records</x:v>
      </x:c>
      <x:c r="E11" s="51" t="str">
        <x:v>Layer 1, Layer 4</x:v>
      </x:c>
      <x:c r="F11" s="51" t="str">
        <x:v>Recent public records</x:v>
      </x:c>
      <x:c r="G11" s="51" t="str">
        <x:v>Measured / public benchmark</x:v>
      </x:c>
      <x:c r="H11" s="51" t="str">
        <x:v>Public</x:v>
      </x:c>
      <x:c r="I11" s="51" t="str">
        <x:v>Global tar sands performance ceiling benchmark</x:v>
      </x:c>
      <x:c r="J11" s="51" t="str">
        <x:v>RLI, CDR, RLR, RCS, AAI</x:v>
      </x:c>
      <x:c r="K11" s="51" t="str">
        <x:v>https://www.aer.ca/</x:v>
      </x:c>
      <x:c r="L11" s="51" t="str">
        <x:v>Used for comparative global tar sands benchmarking.</x:v>
      </x:c>
      <x:c r="M11" s="51" t="str">
        <x:v>Provide URL and extraction metadata</x:v>
      </x:c>
      <x:c r="N11" s="51" t="str">
        <x:v>Reviewer can retrieve relevant annual/stewardship reports.</x:v>
      </x:c>
      <x:c r="O11" s="51"/>
      <x:c r="P11" s="51"/>
      <x:c r="Q11" s="51"/>
      <x:c r="R11" s="51"/>
      <x:c r="S11" s="51"/>
      <x:c r="T11" s="51"/>
      <x:c r="U11" s="51"/>
      <x:c r="V11" s="51"/>
      <x:c r="W11" s="51"/>
      <x:c r="X11" s="51"/>
      <x:c r="Y11" s="51"/>
      <x:c r="Z11" s="51"/>
    </x:row>
    <x:row r="12" ht="15" hidden="0" customHeight="1">
      <x:c r="A12" s="51" t="str">
        <x:v>CR-011</x:v>
      </x:c>
      <x:c r="B12" s="51" t="str">
        <x:v>US BLM / Utah DOGM public records</x:v>
      </x:c>
      <x:c r="C12" s="51" t="str">
        <x:v>United States / Utah</x:v>
      </x:c>
      <x:c r="D12" s="51" t="str">
        <x:v>Benchmark regulatory records</x:v>
      </x:c>
      <x:c r="E12" s="51" t="str">
        <x:v>Layer 1, Layer 3</x:v>
      </x:c>
      <x:c r="F12" s="51" t="str">
        <x:v>Recent public records</x:v>
      </x:c>
      <x:c r="G12" s="51" t="str">
        <x:v>Indicative / public benchmark</x:v>
      </x:c>
      <x:c r="H12" s="51" t="str">
        <x:v>Public</x:v>
      </x:c>
      <x:c r="I12" s="51" t="str">
        <x:v>Middle-spectrum benchmark for tar sands governance</x:v>
      </x:c>
      <x:c r="J12" s="51" t="str">
        <x:v>RLI, CDR, RLR, RCS, AAI</x:v>
      </x:c>
      <x:c r="K12" s="51" t="str">
        <x:v>https://www.blm.gov/; https://ogm.utah.gov/</x:v>
      </x:c>
      <x:c r="L12" s="51" t="str">
        <x:v>Used as indicative benchmark only.</x:v>
      </x:c>
      <x:c r="M12" s="51" t="str">
        <x:v>Provide URL and extraction metadata</x:v>
      </x:c>
      <x:c r="N12" s="51" t="str">
        <x:v>Reviewer can verify general regulatory context, but values are indicative.</x:v>
      </x:c>
      <x:c r="O12" s="51"/>
      <x:c r="P12" s="51"/>
      <x:c r="Q12" s="51"/>
      <x:c r="R12" s="51"/>
      <x:c r="S12" s="51"/>
      <x:c r="T12" s="51"/>
      <x:c r="U12" s="51"/>
      <x:c r="V12" s="51"/>
      <x:c r="W12" s="51"/>
      <x:c r="X12" s="51"/>
      <x:c r="Y12" s="51"/>
      <x:c r="Z12" s="51"/>
    </x:row>
    <x:row r="13" ht="15" hidden="0" customHeight="1">
      <x:c r="A13" s="51" t="str">
        <x:v>CR-012</x:v>
      </x:c>
      <x:c r="B13" s="51" t="str">
        <x:v>PDVSA / Venezuela governance and heavy-oil public sources</x:v>
      </x:c>
      <x:c r="C13" s="51" t="str">
        <x:v>Venezuela</x:v>
      </x:c>
      <x:c r="D13" s="51" t="str">
        <x:v>Benchmark reports / governance proxies</x:v>
      </x:c>
      <x:c r="E13" s="51" t="str">
        <x:v>Layer 1, Layer 4</x:v>
      </x:c>
      <x:c r="F13" s="51" t="str">
        <x:v>Recent public/proxy records</x:v>
      </x:c>
      <x:c r="G13" s="51" t="str">
        <x:v>Structured estimate</x:v>
      </x:c>
      <x:c r="H13" s="51" t="str">
        <x:v>Public/proxy</x:v>
      </x:c>
      <x:c r="I13" s="51" t="str">
        <x:v>Low-performance benchmark for heavy oil / tar sands analogue</x:v>
      </x:c>
      <x:c r="J13" s="51" t="str">
        <x:v>RLI, CDR, RLR, RCS, AAI</x:v>
      </x:c>
      <x:c r="K13" s="51" t="str">
        <x:v>Official PDVSA reports and governance proxies where available</x:v>
      </x:c>
      <x:c r="L13" s="51" t="str">
        <x:v>Used as structured estimate due to limited transparency.</x:v>
      </x:c>
      <x:c r="M13" s="51" t="str">
        <x:v>Provide sources and uncertainty flag</x:v>
      </x:c>
      <x:c r="N13" s="51" t="str">
        <x:v>Reviewer should treat values as directional, not fully measured.</x:v>
      </x:c>
      <x:c r="O13" s="51"/>
      <x:c r="P13" s="51"/>
      <x:c r="Q13" s="51"/>
      <x:c r="R13" s="51"/>
      <x:c r="S13" s="51"/>
      <x:c r="T13" s="51"/>
      <x:c r="U13" s="51"/>
      <x:c r="V13" s="51"/>
      <x:c r="W13" s="51"/>
      <x:c r="X13" s="51"/>
      <x:c r="Y13" s="51"/>
      <x:c r="Z13" s="51"/>
    </x:row>
    <x:row r="14" ht="15" hidden="0" customHeight="1">
      <x:c r="A14" s="51" t="str">
        <x:v>CR-013</x:v>
      </x:c>
      <x:c r="B14" s="51" t="str">
        <x:v>Marikana or stakeholder corpus, if used in companion work</x:v>
      </x:c>
      <x:c r="C14" s="51" t="str">
        <x:v>South Africa</x:v>
      </x:c>
      <x:c r="D14" s="51" t="str">
        <x:v>Transcript / stakeholder text corpus</x:v>
      </x:c>
      <x:c r="E14" s="51" t="str">
        <x:v>Layer 4 / companion framework</x:v>
      </x:c>
      <x:c r="F14" s="51" t="str">
        <x:v>Case-specific</x:v>
      </x:c>
      <x:c r="G14" s="51" t="str">
        <x:v>Restricted / sensitive unless public inquiry transcripts</x:v>
      </x:c>
      <x:c r="H14" s="51" t="str">
        <x:v>Mixed</x:v>
      </x:c>
      <x:c r="I14" s="51" t="str">
        <x:v>NLP stakeholder-risk calibration if imported into extended AIMRA work</x:v>
      </x:c>
      <x:c r="J14" s="51" t="str">
        <x:v>Stakeholder salience, conflict markers, legal references</x:v>
      </x:c>
      <x:c r="K14" s="51" t="str">
        <x:v>Use only official public inquiry transcripts or licensed text</x:v>
      </x:c>
      <x:c r="L14" s="51" t="str">
        <x:v>Not required for AIMRA Stage 1 calculations unless explicitly added.</x:v>
      </x:c>
      <x:c r="M14" s="51" t="str">
        <x:v>Redistribute only public-domain metadata or processed non-copyright features</x:v>
      </x:c>
      <x:c r="N14" s="51" t="str">
        <x:v>Keep separate from AIMRA core data unless manuscript explicitly uses it.</x:v>
      </x:c>
      <x:c r="O14" s="51"/>
      <x:c r="P14" s="51"/>
      <x:c r="Q14" s="51"/>
      <x:c r="R14" s="51"/>
      <x:c r="S14" s="51"/>
      <x:c r="T14" s="51"/>
      <x:c r="U14" s="51"/>
      <x:c r="V14" s="51"/>
      <x:c r="W14" s="51"/>
      <x:c r="X14" s="51"/>
      <x:c r="Y14" s="51"/>
      <x:c r="Z14" s="51"/>
    </x:row>
    <x:row r="15" ht="15" hidden="0" customHeight="1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  <x:c r="P15" s="51"/>
      <x:c r="Q15" s="51"/>
      <x:c r="R15" s="51"/>
      <x:c r="S15" s="51"/>
      <x:c r="T15" s="51"/>
      <x:c r="U15" s="51"/>
      <x:c r="V15" s="51"/>
      <x:c r="W15" s="51"/>
      <x:c r="X15" s="51"/>
      <x:c r="Y15" s="51"/>
      <x:c r="Z15" s="51"/>
    </x:row>
    <x:row r="16" ht="15" hidden="0" customHeight="1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  <x:c r="O16" s="51"/>
      <x:c r="P16" s="51"/>
      <x:c r="Q16" s="51"/>
      <x:c r="R16" s="51"/>
      <x:c r="S16" s="51"/>
      <x:c r="T16" s="51"/>
      <x:c r="U16" s="51"/>
      <x:c r="V16" s="51"/>
      <x:c r="W16" s="51"/>
      <x:c r="X16" s="51"/>
      <x:c r="Y16" s="51"/>
      <x:c r="Z16" s="51"/>
    </x:row>
    <x:row r="17" ht="15" hidden="0" customHeight="1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  <x:c r="O17" s="51"/>
      <x:c r="P17" s="51"/>
      <x:c r="Q17" s="51"/>
      <x:c r="R17" s="51"/>
      <x:c r="S17" s="51"/>
      <x:c r="T17" s="51"/>
      <x:c r="U17" s="51"/>
      <x:c r="V17" s="51"/>
      <x:c r="W17" s="51"/>
      <x:c r="X17" s="51"/>
      <x:c r="Y17" s="51"/>
      <x:c r="Z17" s="51"/>
    </x:row>
    <x:row r="18" ht="15" hidden="0" customHeight="1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  <x:c r="O18" s="51"/>
      <x:c r="P18" s="51"/>
      <x:c r="Q18" s="51"/>
      <x:c r="R18" s="51"/>
      <x:c r="S18" s="51"/>
      <x:c r="T18" s="51"/>
      <x:c r="U18" s="51"/>
      <x:c r="V18" s="51"/>
      <x:c r="W18" s="51"/>
      <x:c r="X18" s="51"/>
      <x:c r="Y18" s="51"/>
      <x:c r="Z18" s="51"/>
    </x:row>
    <x:row r="19" ht="15" hidden="0" customHeight="1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  <x:c r="O19" s="51"/>
      <x:c r="P19" s="51"/>
      <x:c r="Q19" s="51"/>
      <x:c r="R19" s="51"/>
      <x:c r="S19" s="51"/>
      <x:c r="T19" s="51"/>
      <x:c r="U19" s="51"/>
      <x:c r="V19" s="51"/>
      <x:c r="W19" s="51"/>
      <x:c r="X19" s="51"/>
      <x:c r="Y19" s="51"/>
      <x:c r="Z19" s="51"/>
    </x:row>
    <x:row r="20" ht="15" hidden="0" customHeight="1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  <x:c r="P20" s="51"/>
      <x:c r="Q20" s="51"/>
      <x:c r="R20" s="51"/>
      <x:c r="S20" s="51"/>
      <x:c r="T20" s="51"/>
      <x:c r="U20" s="51"/>
      <x:c r="V20" s="51"/>
      <x:c r="W20" s="51"/>
      <x:c r="X20" s="51"/>
      <x:c r="Y20" s="51"/>
      <x:c r="Z20" s="51"/>
    </x:row>
    <x:row r="21" ht="15" hidden="0" customHeight="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  <x:c r="P21" s="51"/>
      <x:c r="Q21" s="51"/>
      <x:c r="R21" s="51"/>
      <x:c r="S21" s="51"/>
      <x:c r="T21" s="51"/>
      <x:c r="U21" s="51"/>
      <x:c r="V21" s="51"/>
      <x:c r="W21" s="51"/>
      <x:c r="X21" s="51"/>
      <x:c r="Y21" s="51"/>
      <x:c r="Z21" s="51"/>
    </x:row>
    <x:row r="22" ht="15" hidden="0" customHeight="1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  <x:c r="P22" s="51"/>
      <x:c r="Q22" s="51"/>
      <x:c r="R22" s="51"/>
      <x:c r="S22" s="51"/>
      <x:c r="T22" s="51"/>
      <x:c r="U22" s="51"/>
      <x:c r="V22" s="51"/>
      <x:c r="W22" s="51"/>
      <x:c r="X22" s="51"/>
      <x:c r="Y22" s="51"/>
      <x:c r="Z22" s="51"/>
    </x:row>
    <x:row r="23" ht="15" hidden="0" customHeight="1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  <x:c r="P23" s="51"/>
      <x:c r="Q23" s="51"/>
      <x:c r="R23" s="51"/>
      <x:c r="S23" s="51"/>
      <x:c r="T23" s="51"/>
      <x:c r="U23" s="51"/>
      <x:c r="V23" s="51"/>
      <x:c r="W23" s="51"/>
      <x:c r="X23" s="51"/>
      <x:c r="Y23" s="51"/>
      <x:c r="Z23" s="51"/>
    </x:row>
    <x:row r="24" ht="15" hidden="0" customHeight="1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  <x:c r="P24" s="51"/>
      <x:c r="Q24" s="51"/>
      <x:c r="R24" s="51"/>
      <x:c r="S24" s="51"/>
      <x:c r="T24" s="51"/>
      <x:c r="U24" s="51"/>
      <x:c r="V24" s="51"/>
      <x:c r="W24" s="51"/>
      <x:c r="X24" s="51"/>
      <x:c r="Y24" s="51"/>
      <x:c r="Z24" s="51"/>
    </x:row>
    <x:row r="25" ht="15" hidden="0" customHeight="1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  <x:c r="P25" s="51"/>
      <x:c r="Q25" s="51"/>
      <x:c r="R25" s="51"/>
      <x:c r="S25" s="51"/>
      <x:c r="T25" s="51"/>
      <x:c r="U25" s="51"/>
      <x:c r="V25" s="51"/>
      <x:c r="W25" s="51"/>
      <x:c r="X25" s="51"/>
      <x:c r="Y25" s="51"/>
      <x:c r="Z25" s="51"/>
    </x:row>
    <x:row r="26" ht="15" hidden="0" customHeight="1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  <x:c r="P26" s="51"/>
      <x:c r="Q26" s="51"/>
      <x:c r="R26" s="51"/>
      <x:c r="S26" s="51"/>
      <x:c r="T26" s="51"/>
      <x:c r="U26" s="51"/>
      <x:c r="V26" s="51"/>
      <x:c r="W26" s="51"/>
      <x:c r="X26" s="51"/>
      <x:c r="Y26" s="51"/>
      <x:c r="Z26" s="51"/>
    </x:row>
    <x:row r="27" ht="15" hidden="0" customHeight="1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  <x:c r="P27" s="51"/>
      <x:c r="Q27" s="51"/>
      <x:c r="R27" s="51"/>
      <x:c r="S27" s="51"/>
      <x:c r="T27" s="51"/>
      <x:c r="U27" s="51"/>
      <x:c r="V27" s="51"/>
      <x:c r="W27" s="51"/>
      <x:c r="X27" s="51"/>
      <x:c r="Y27" s="51"/>
      <x:c r="Z27" s="51"/>
    </x:row>
    <x:row r="28" ht="15" hidden="0" customHeight="1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  <x:c r="P28" s="51"/>
      <x:c r="Q28" s="51"/>
      <x:c r="R28" s="51"/>
      <x:c r="S28" s="51"/>
      <x:c r="T28" s="51"/>
      <x:c r="U28" s="51"/>
      <x:c r="V28" s="51"/>
      <x:c r="W28" s="51"/>
      <x:c r="X28" s="51"/>
      <x:c r="Y28" s="51"/>
      <x:c r="Z28" s="51"/>
    </x:row>
    <x:row r="29" ht="15" hidden="0" customHeight="1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  <x:c r="P29" s="51"/>
      <x:c r="Q29" s="51"/>
      <x:c r="R29" s="51"/>
      <x:c r="S29" s="51"/>
      <x:c r="T29" s="51"/>
      <x:c r="U29" s="51"/>
      <x:c r="V29" s="51"/>
      <x:c r="W29" s="51"/>
      <x:c r="X29" s="51"/>
      <x:c r="Y29" s="51"/>
      <x:c r="Z29" s="51"/>
    </x:row>
    <x:row r="30" ht="15" hidden="0" customHeight="1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  <x:c r="P30" s="51"/>
      <x:c r="Q30" s="51"/>
      <x:c r="R30" s="51"/>
      <x:c r="S30" s="51"/>
      <x:c r="T30" s="51"/>
      <x:c r="U30" s="51"/>
      <x:c r="V30" s="51"/>
      <x:c r="W30" s="51"/>
      <x:c r="X30" s="51"/>
      <x:c r="Y30" s="51"/>
      <x:c r="Z30" s="51"/>
    </x:row>
    <x:row r="31" ht="15" hidden="0" customHeight="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  <x:c r="P31" s="51"/>
      <x:c r="Q31" s="51"/>
      <x:c r="R31" s="51"/>
      <x:c r="S31" s="51"/>
      <x:c r="T31" s="51"/>
      <x:c r="U31" s="51"/>
      <x:c r="V31" s="51"/>
      <x:c r="W31" s="51"/>
      <x:c r="X31" s="51"/>
      <x:c r="Y31" s="51"/>
      <x:c r="Z31" s="51"/>
    </x:row>
    <x:row r="32" ht="15" hidden="0" customHeight="1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  <x:c r="P32" s="51"/>
      <x:c r="Q32" s="51"/>
      <x:c r="R32" s="51"/>
      <x:c r="S32" s="51"/>
      <x:c r="T32" s="51"/>
      <x:c r="U32" s="51"/>
      <x:c r="V32" s="51"/>
      <x:c r="W32" s="51"/>
      <x:c r="X32" s="51"/>
      <x:c r="Y32" s="51"/>
      <x:c r="Z32" s="51"/>
    </x:row>
    <x:row r="33" ht="15" hidden="0" customHeight="1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  <x:c r="P33" s="51"/>
      <x:c r="Q33" s="51"/>
      <x:c r="R33" s="51"/>
      <x:c r="S33" s="51"/>
      <x:c r="T33" s="51"/>
      <x:c r="U33" s="51"/>
      <x:c r="V33" s="51"/>
      <x:c r="W33" s="51"/>
      <x:c r="X33" s="51"/>
      <x:c r="Y33" s="51"/>
      <x:c r="Z33" s="51"/>
    </x:row>
    <x:row r="34" ht="15" hidden="0" customHeight="1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  <x:c r="P34" s="51"/>
      <x:c r="Q34" s="51"/>
      <x:c r="R34" s="51"/>
      <x:c r="S34" s="51"/>
      <x:c r="T34" s="51"/>
      <x:c r="U34" s="51"/>
      <x:c r="V34" s="51"/>
      <x:c r="W34" s="51"/>
      <x:c r="X34" s="51"/>
      <x:c r="Y34" s="51"/>
      <x:c r="Z34" s="51"/>
    </x:row>
    <x:row r="35" ht="15" hidden="0" customHeight="1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  <x:c r="P35" s="51"/>
      <x:c r="Q35" s="51"/>
      <x:c r="R35" s="51"/>
      <x:c r="S35" s="51"/>
      <x:c r="T35" s="51"/>
      <x:c r="U35" s="51"/>
      <x:c r="V35" s="51"/>
      <x:c r="W35" s="51"/>
      <x:c r="X35" s="51"/>
      <x:c r="Y35" s="51"/>
      <x:c r="Z35" s="51"/>
    </x:row>
    <x:row r="36" ht="15" hidden="0" customHeight="1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  <x:c r="P36" s="51"/>
      <x:c r="Q36" s="51"/>
      <x:c r="R36" s="51"/>
      <x:c r="S36" s="51"/>
      <x:c r="T36" s="51"/>
      <x:c r="U36" s="51"/>
      <x:c r="V36" s="51"/>
      <x:c r="W36" s="51"/>
      <x:c r="X36" s="51"/>
      <x:c r="Y36" s="51"/>
      <x:c r="Z36" s="51"/>
    </x:row>
    <x:row r="37" ht="15" hidden="0" customHeight="1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  <x:c r="P37" s="51"/>
      <x:c r="Q37" s="51"/>
      <x:c r="R37" s="51"/>
      <x:c r="S37" s="51"/>
      <x:c r="T37" s="51"/>
      <x:c r="U37" s="51"/>
      <x:c r="V37" s="51"/>
      <x:c r="W37" s="51"/>
      <x:c r="X37" s="51"/>
      <x:c r="Y37" s="51"/>
      <x:c r="Z37" s="51"/>
    </x:row>
    <x:row r="38" ht="15" hidden="0" customHeight="1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  <x:c r="P38" s="51"/>
      <x:c r="Q38" s="51"/>
      <x:c r="R38" s="51"/>
      <x:c r="S38" s="51"/>
      <x:c r="T38" s="51"/>
      <x:c r="U38" s="51"/>
      <x:c r="V38" s="51"/>
      <x:c r="W38" s="51"/>
      <x:c r="X38" s="51"/>
      <x:c r="Y38" s="51"/>
      <x:c r="Z38" s="51"/>
    </x:row>
    <x:row r="39" ht="15" hidden="0" customHeight="1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  <x:c r="P39" s="51"/>
      <x:c r="Q39" s="51"/>
      <x:c r="R39" s="51"/>
      <x:c r="S39" s="51"/>
      <x:c r="T39" s="51"/>
      <x:c r="U39" s="51"/>
      <x:c r="V39" s="51"/>
      <x:c r="W39" s="51"/>
      <x:c r="X39" s="51"/>
      <x:c r="Y39" s="51"/>
      <x:c r="Z39" s="51"/>
    </x:row>
    <x:row r="40" ht="15" hidden="0" customHeight="1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  <x:c r="P40" s="51"/>
      <x:c r="Q40" s="51"/>
      <x:c r="R40" s="51"/>
      <x:c r="S40" s="51"/>
      <x:c r="T40" s="51"/>
      <x:c r="U40" s="51"/>
      <x:c r="V40" s="51"/>
      <x:c r="W40" s="51"/>
      <x:c r="X40" s="51"/>
      <x:c r="Y40" s="51"/>
      <x:c r="Z40" s="51"/>
    </x:row>
    <x:row r="41" ht="15" hidden="0" customHeight="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  <x:c r="P41" s="51"/>
      <x:c r="Q41" s="51"/>
      <x:c r="R41" s="51"/>
      <x:c r="S41" s="51"/>
      <x:c r="T41" s="51"/>
      <x:c r="U41" s="51"/>
      <x:c r="V41" s="51"/>
      <x:c r="W41" s="51"/>
      <x:c r="X41" s="51"/>
      <x:c r="Y41" s="51"/>
      <x:c r="Z41" s="51"/>
    </x:row>
    <x:row r="42" ht="15" hidden="0" customHeight="1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  <x:c r="P42" s="51"/>
      <x:c r="Q42" s="51"/>
      <x:c r="R42" s="51"/>
      <x:c r="S42" s="51"/>
      <x:c r="T42" s="51"/>
      <x:c r="U42" s="51"/>
      <x:c r="V42" s="51"/>
      <x:c r="W42" s="51"/>
      <x:c r="X42" s="51"/>
      <x:c r="Y42" s="51"/>
      <x:c r="Z42" s="51"/>
    </x:row>
    <x:row r="43" ht="15" hidden="0" customHeight="1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  <x:c r="P43" s="51"/>
      <x:c r="Q43" s="51"/>
      <x:c r="R43" s="51"/>
      <x:c r="S43" s="51"/>
      <x:c r="T43" s="51"/>
      <x:c r="U43" s="51"/>
      <x:c r="V43" s="51"/>
      <x:c r="W43" s="51"/>
      <x:c r="X43" s="51"/>
      <x:c r="Y43" s="51"/>
      <x:c r="Z43" s="51"/>
    </x:row>
    <x:row r="44" ht="15" hidden="0" customHeight="1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  <x:c r="P44" s="51"/>
      <x:c r="Q44" s="51"/>
      <x:c r="R44" s="51"/>
      <x:c r="S44" s="51"/>
      <x:c r="T44" s="51"/>
      <x:c r="U44" s="51"/>
      <x:c r="V44" s="51"/>
      <x:c r="W44" s="51"/>
      <x:c r="X44" s="51"/>
      <x:c r="Y44" s="51"/>
      <x:c r="Z44" s="51"/>
    </x:row>
    <x:row r="45" ht="15" hidden="0" customHeight="1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  <x:c r="P45" s="51"/>
      <x:c r="Q45" s="51"/>
      <x:c r="R45" s="51"/>
      <x:c r="S45" s="51"/>
      <x:c r="T45" s="51"/>
      <x:c r="U45" s="51"/>
      <x:c r="V45" s="51"/>
      <x:c r="W45" s="51"/>
      <x:c r="X45" s="51"/>
      <x:c r="Y45" s="51"/>
      <x:c r="Z45" s="51"/>
    </x:row>
    <x:row r="46" ht="15" hidden="0" customHeight="1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  <x:c r="P46" s="51"/>
      <x:c r="Q46" s="51"/>
      <x:c r="R46" s="51"/>
      <x:c r="S46" s="51"/>
      <x:c r="T46" s="51"/>
      <x:c r="U46" s="51"/>
      <x:c r="V46" s="51"/>
      <x:c r="W46" s="51"/>
      <x:c r="X46" s="51"/>
      <x:c r="Y46" s="51"/>
      <x:c r="Z46" s="51"/>
    </x:row>
    <x:row r="47" ht="15" hidden="0" customHeight="1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  <x:c r="P47" s="51"/>
      <x:c r="Q47" s="51"/>
      <x:c r="R47" s="51"/>
      <x:c r="S47" s="51"/>
      <x:c r="T47" s="51"/>
      <x:c r="U47" s="51"/>
      <x:c r="V47" s="51"/>
      <x:c r="W47" s="51"/>
      <x:c r="X47" s="51"/>
      <x:c r="Y47" s="51"/>
      <x:c r="Z47" s="51"/>
    </x:row>
    <x:row r="48" ht="15" hidden="0" customHeight="1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  <x:c r="P48" s="51"/>
      <x:c r="Q48" s="51"/>
      <x:c r="R48" s="51"/>
      <x:c r="S48" s="51"/>
      <x:c r="T48" s="51"/>
      <x:c r="U48" s="51"/>
      <x:c r="V48" s="51"/>
      <x:c r="W48" s="51"/>
      <x:c r="X48" s="51"/>
      <x:c r="Y48" s="51"/>
      <x:c r="Z48" s="51"/>
    </x:row>
    <x:row r="49" ht="15" hidden="0" customHeight="1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  <x:c r="P49" s="51"/>
      <x:c r="Q49" s="51"/>
      <x:c r="R49" s="51"/>
      <x:c r="S49" s="51"/>
      <x:c r="T49" s="51"/>
      <x:c r="U49" s="51"/>
      <x:c r="V49" s="51"/>
      <x:c r="W49" s="51"/>
      <x:c r="X49" s="51"/>
      <x:c r="Y49" s="51"/>
      <x:c r="Z49" s="51"/>
    </x:row>
    <x:row r="50" ht="15" hidden="0" customHeight="1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  <x:c r="P50" s="51"/>
      <x:c r="Q50" s="51"/>
      <x:c r="R50" s="51"/>
      <x:c r="S50" s="51"/>
      <x:c r="T50" s="51"/>
      <x:c r="U50" s="51"/>
      <x:c r="V50" s="51"/>
      <x:c r="W50" s="51"/>
      <x:c r="X50" s="51"/>
      <x:c r="Y50" s="51"/>
      <x:c r="Z50" s="51"/>
    </x:row>
    <x:row r="51" ht="15" hidden="0" customHeight="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  <x:c r="O51" s="51"/>
      <x:c r="P51" s="51"/>
      <x:c r="Q51" s="51"/>
      <x:c r="R51" s="51"/>
      <x:c r="S51" s="51"/>
      <x:c r="T51" s="51"/>
      <x:c r="U51" s="51"/>
      <x:c r="V51" s="51"/>
      <x:c r="W51" s="51"/>
      <x:c r="X51" s="51"/>
      <x:c r="Y51" s="51"/>
      <x:c r="Z51" s="51"/>
    </x:row>
    <x:row r="52" ht="15" hidden="0" customHeight="1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  <x:c r="N52" s="51"/>
      <x:c r="O52" s="51"/>
      <x:c r="P52" s="51"/>
      <x:c r="Q52" s="51"/>
      <x:c r="R52" s="51"/>
      <x:c r="S52" s="51"/>
      <x:c r="T52" s="51"/>
      <x:c r="U52" s="51"/>
      <x:c r="V52" s="51"/>
      <x:c r="W52" s="51"/>
      <x:c r="X52" s="51"/>
      <x:c r="Y52" s="51"/>
      <x:c r="Z52" s="51"/>
    </x:row>
    <x:row r="53" ht="15" hidden="0" customHeight="1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  <x:c r="N53" s="51"/>
      <x:c r="O53" s="51"/>
      <x:c r="P53" s="51"/>
      <x:c r="Q53" s="51"/>
      <x:c r="R53" s="51"/>
      <x:c r="S53" s="51"/>
      <x:c r="T53" s="51"/>
      <x:c r="U53" s="51"/>
      <x:c r="V53" s="51"/>
      <x:c r="W53" s="51"/>
      <x:c r="X53" s="51"/>
      <x:c r="Y53" s="51"/>
      <x:c r="Z53" s="51"/>
    </x:row>
    <x:row r="54" ht="15" hidden="0" customHeight="1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  <x:c r="O54" s="51"/>
      <x:c r="P54" s="51"/>
      <x:c r="Q54" s="51"/>
      <x:c r="R54" s="51"/>
      <x:c r="S54" s="51"/>
      <x:c r="T54" s="51"/>
      <x:c r="U54" s="51"/>
      <x:c r="V54" s="51"/>
      <x:c r="W54" s="51"/>
      <x:c r="X54" s="51"/>
      <x:c r="Y54" s="51"/>
      <x:c r="Z54" s="51"/>
    </x:row>
    <x:row r="55" ht="15" hidden="0" customHeight="1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  <x:c r="O55" s="51"/>
      <x:c r="P55" s="51"/>
      <x:c r="Q55" s="51"/>
      <x:c r="R55" s="51"/>
      <x:c r="S55" s="51"/>
      <x:c r="T55" s="51"/>
      <x:c r="U55" s="51"/>
      <x:c r="V55" s="51"/>
      <x:c r="W55" s="51"/>
      <x:c r="X55" s="51"/>
      <x:c r="Y55" s="51"/>
      <x:c r="Z55" s="51"/>
    </x:row>
    <x:row r="56" ht="15" hidden="0" customHeight="1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  <x:c r="O56" s="51"/>
      <x:c r="P56" s="51"/>
      <x:c r="Q56" s="51"/>
      <x:c r="R56" s="51"/>
      <x:c r="S56" s="51"/>
      <x:c r="T56" s="51"/>
      <x:c r="U56" s="51"/>
      <x:c r="V56" s="51"/>
      <x:c r="W56" s="51"/>
      <x:c r="X56" s="51"/>
      <x:c r="Y56" s="51"/>
      <x:c r="Z56" s="51"/>
    </x:row>
    <x:row r="57" ht="15" hidden="0" customHeight="1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  <x:c r="O57" s="51"/>
      <x:c r="P57" s="51"/>
      <x:c r="Q57" s="51"/>
      <x:c r="R57" s="51"/>
      <x:c r="S57" s="51"/>
      <x:c r="T57" s="51"/>
      <x:c r="U57" s="51"/>
      <x:c r="V57" s="51"/>
      <x:c r="W57" s="51"/>
      <x:c r="X57" s="51"/>
      <x:c r="Y57" s="51"/>
      <x:c r="Z57" s="51"/>
    </x:row>
    <x:row r="58" ht="15" hidden="0" customHeight="1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  <x:c r="O58" s="51"/>
      <x:c r="P58" s="51"/>
      <x:c r="Q58" s="51"/>
      <x:c r="R58" s="51"/>
      <x:c r="S58" s="51"/>
      <x:c r="T58" s="51"/>
      <x:c r="U58" s="51"/>
      <x:c r="V58" s="51"/>
      <x:c r="W58" s="51"/>
      <x:c r="X58" s="51"/>
      <x:c r="Y58" s="51"/>
      <x:c r="Z58" s="51"/>
    </x:row>
    <x:row r="59" ht="15" hidden="0" customHeight="1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  <x:c r="O59" s="51"/>
      <x:c r="P59" s="51"/>
      <x:c r="Q59" s="51"/>
      <x:c r="R59" s="51"/>
      <x:c r="S59" s="51"/>
      <x:c r="T59" s="51"/>
      <x:c r="U59" s="51"/>
      <x:c r="V59" s="51"/>
      <x:c r="W59" s="51"/>
      <x:c r="X59" s="51"/>
      <x:c r="Y59" s="51"/>
      <x:c r="Z59" s="51"/>
    </x:row>
    <x:row r="60" ht="15" hidden="0" customHeight="1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  <x:c r="O60" s="51"/>
      <x:c r="P60" s="51"/>
      <x:c r="Q60" s="51"/>
      <x:c r="R60" s="51"/>
      <x:c r="S60" s="51"/>
      <x:c r="T60" s="51"/>
      <x:c r="U60" s="51"/>
      <x:c r="V60" s="51"/>
      <x:c r="W60" s="51"/>
      <x:c r="X60" s="51"/>
      <x:c r="Y60" s="51"/>
      <x:c r="Z60" s="51"/>
    </x:row>
  </x:sheetData>
  <x:conditionalFormatting sqref="G2:H14">
    <x:cfRule type="expression" dxfId="0" priority="1">
      <x:formula>OR($G2="Restricted / pending access",$H2="Restricted")</x:formula>
    </x:cfRule>
    <x:cfRule type="expression" dxfId="1" priority="2">
      <x:formula>OR($H2="Public",$G2="Measured / cited")</x:formula>
    </x:cfRule>
  </x:conditionalFormatting>
  <x:dataValidations count="2">
    <x:dataValidation type="list" sqref="G2:G200">
      <x:formula1>"Measured / cited,Partly measured / estimated,Estimated / cited,Structured estimate,Indicative / public benchmark,Restricted / pending access,Public legal text,Projection"</x:formula1>
    </x:dataValidation>
    <x:dataValidation type="list" sqref="H2:H200">
      <x:formula1>"Public,Public/proxy,Restricted,Confidential,Mixed,Not redistributable"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ccbc9795654e1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18" hidden="0" customWidth="1"/>
    <x:col min="5" max="5" width="16" hidden="0" customWidth="1"/>
    <x:col min="6" max="6" width="18" hidden="0" customWidth="1"/>
    <x:col min="7" max="7" width="18" hidden="0" customWidth="1"/>
    <x:col min="8" max="8" width="20" hidden="0" customWidth="1"/>
    <x:col min="9" max="9" width="24" hidden="0" customWidth="1"/>
    <x:col min="10" max="10" width="32" hidden="0" customWidth="1"/>
    <x:col min="11" max="11" width="32" hidden="0" customWidth="1"/>
    <x:col min="12" max="12" width="32" hidden="0" customWidth="1"/>
    <x:col min="13" max="13" width="26" hidden="0" customWidth="1"/>
    <x:col min="14" max="14" width="36" hidden="0" customWidth="1"/>
    <x:col min="15" max="15" width="32" hidden="0" customWidth="1"/>
    <x:col min="16" max="16" width="38" hidden="0" customWidth="1"/>
  </x:cols>
  <x:sheetData>
    <x:row r="1" ht="15" hidden="0" customHeight="1">
      <x:c r="A1" s="64" t="str">
        <x:v>Variable_ID</x:v>
      </x:c>
      <x:c r="B1" s="64" t="str">
        <x:v>Variable_Name</x:v>
      </x:c>
      <x:c r="C1" s="64" t="str">
        <x:v>AIMRA_Index_or_Layer</x:v>
      </x:c>
      <x:c r="D1" s="64" t="str">
        <x:v>Operational_Definition</x:v>
      </x:c>
      <x:c r="E1" s="64" t="str">
        <x:v>Allowed_Values_or_Formula</x:v>
      </x:c>
      <x:c r="F1" s="64" t="str">
        <x:v>Evidence_Required</x:v>
      </x:c>
      <x:c r="G1" s="64" t="str">
        <x:v>Coding_Instruction</x:v>
      </x:c>
      <x:c r="H1" s="64" t="str">
        <x:v>Uncertainty_Rule</x:v>
      </x:c>
      <x:c r="I1" s="64" t="str">
        <x:v>Example_from_Manuscript</x:v>
      </x:c>
      <x:c r="J1" s="64" t="str">
        <x:v>Reviewer_Check</x:v>
      </x:c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 ht="15" hidden="0" customHeight="1">
      <x:c r="A2" s="51" t="str">
        <x:v>V-001</x:v>
      </x:c>
      <x:c r="B2" s="51" t="str">
        <x:v>RLI_raw_days</x:v>
      </x:c>
      <x:c r="C2" s="51" t="str">
        <x:v>RLI / Layer 2</x:v>
      </x:c>
      <x:c r="D2" s="51" t="str">
        <x:v>Mean elapsed days between resource-system state change and formal management response.</x:v>
      </x:c>
      <x:c r="E2" s="51" t="str">
        <x:v>Numeric days; 0–365+</x:v>
      </x:c>
      <x:c r="F2" s="51" t="str">
        <x:v>Date of event/state change and date of formal response.</x:v>
      </x:c>
      <x:c r="G2" s="51" t="str">
        <x:v>Compute mean across cases in the period; do not mix licensing and enforcement unless flagged.</x:v>
      </x:c>
      <x:c r="H2" s="51" t="str">
        <x:v>If case-level data unavailable, use report-based proxy and mark Estimated.</x:v>
      </x:c>
      <x:c r="I2" s="51" t="str">
        <x:v>Agbabu baseline: 241 days; South Africa baseline: 187 days.</x:v>
      </x:c>
      <x:c r="J2" s="51" t="str">
        <x:v>Check dates, case inclusion, and RLI_max choice.</x:v>
      </x:c>
      <x:c r="K2" s="51"/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</x:row>
    <x:row r="3" ht="15" hidden="0" customHeight="1">
      <x:c r="A3" s="51" t="str">
        <x:v>V-002</x:v>
      </x:c>
      <x:c r="B3" s="51" t="str">
        <x:v>RLI_norm</x:v>
      </x:c>
      <x:c r="C3" s="51" t="str">
        <x:v>RLI / Composite G</x:v>
      </x:c>
      <x:c r="D3" s="51" t="str">
        <x:v>Normalised latency score where higher is better.</x:v>
      </x:c>
      <x:c r="E3" s="51" t="str">
        <x:v>=1-MIN(RLI_raw_days/365,1)</x:v>
      </x:c>
      <x:c r="F3" s="51" t="str">
        <x:v>RLI_raw_days and declared RLI_max.</x:v>
      </x:c>
      <x:c r="G3" s="51" t="str">
        <x:v>Use RLI_max = 365 days unless manuscript revision specifies another benchmark.</x:v>
      </x:c>
      <x:c r="H3" s="51" t="str">
        <x:v>Flag values capped at 0 when RLI exceeds 365 days.</x:v>
      </x:c>
      <x:c r="I3" s="51" t="str">
        <x:v>Agbabu: 1 − 241/365 = 0.34.</x:v>
      </x:c>
      <x:c r="J3" s="51" t="str">
        <x:v>Formula should produce 0–1 only.</x:v>
      </x:c>
      <x:c r="K3" s="51"/>
      <x:c r="L3" s="51"/>
      <x:c r="M3" s="51"/>
      <x:c r="N3" s="51"/>
      <x:c r="O3" s="51"/>
      <x:c r="P3" s="51"/>
      <x:c r="Q3" s="51"/>
      <x:c r="R3" s="51"/>
      <x:c r="S3" s="51"/>
      <x:c r="T3" s="51"/>
      <x:c r="U3" s="51"/>
      <x:c r="V3" s="51"/>
      <x:c r="W3" s="51"/>
      <x:c r="X3" s="51"/>
      <x:c r="Y3" s="51"/>
      <x:c r="Z3" s="51"/>
    </x:row>
    <x:row r="4" ht="15" hidden="0" customHeight="1">
      <x:c r="A4" s="51" t="str">
        <x:v>V-003</x:v>
      </x:c>
      <x:c r="B4" s="51" t="str">
        <x:v>CDR</x:v>
      </x:c>
      <x:c r="C4" s="51" t="str">
        <x:v>Operational Visibility / Layer 2</x:v>
      </x:c>
      <x:c r="D4" s="51" t="str">
        <x:v>Proportion of actual or independently estimated anomalies formally detected.</x:v>
      </x:c>
      <x:c r="E4" s="51" t="str">
        <x:v>Numeric ratio 0–1</x:v>
      </x:c>
      <x:c r="F4" s="51" t="str">
        <x:v>Inspection logs, reconciliation discrepancies, AI/manual comparison records.</x:v>
      </x:c>
      <x:c r="G4" s="51" t="str">
        <x:v>Use detected anomalies divided by estimated actual anomalies for same period and jurisdiction.</x:v>
      </x:c>
      <x:c r="H4" s="51" t="str">
        <x:v>If denominator is estimated, mark Partly measured or Estimated.</x:v>
      </x:c>
      <x:c r="I4" s="51" t="str">
        <x:v>Agbabu baseline: 0.18; projected 0.56.</x:v>
      </x:c>
      <x:c r="J4" s="51" t="str">
        <x:v>Verify numerator/denominator alignment.</x:v>
      </x:c>
      <x:c r="K4" s="51"/>
      <x:c r="L4" s="51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 ht="15" hidden="0" customHeight="1">
      <x:c r="A5" s="51" t="str">
        <x:v>V-004</x:v>
      </x:c>
      <x:c r="B5" s="51" t="str">
        <x:v>RLR_raw</x:v>
      </x:c>
      <x:c r="C5" s="51" t="str">
        <x:v>Resource Value Loss / Layer 2</x:v>
      </x:c>
      <x:c r="D5" s="51" t="str">
        <x:v>Gap between estimated and declared mineral revenues divided by estimated revenues.</x:v>
      </x:c>
      <x:c r="E5" s="51" t="str">
        <x:v>Numeric ratio 0–1+</x:v>
      </x:c>
      <x:c r="F5" s="51" t="str">
        <x:v>Revenue declarations, reconciliation reports, independent valuation estimates.</x:v>
      </x:c>
      <x:c r="G5" s="51" t="str">
        <x:v>Calculate as (estimated revenue − declared revenue)/estimated revenue.</x:v>
      </x:c>
      <x:c r="H5" s="51" t="str">
        <x:v>Use uncertainty ranges where independent valuation is weak.</x:v>
      </x:c>
      <x:c r="I5" s="51" t="str">
        <x:v>Agbabu baseline: 0.47.</x:v>
      </x:c>
      <x:c r="J5" s="51" t="str">
        <x:v>Check that negative values are not silently converted.</x:v>
      </x:c>
      <x:c r="K5" s="51"/>
      <x:c r="L5" s="51"/>
      <x:c r="M5" s="51"/>
      <x:c r="N5" s="51"/>
      <x:c r="O5" s="51"/>
      <x:c r="P5" s="51"/>
      <x:c r="Q5" s="51"/>
      <x:c r="R5" s="51"/>
      <x:c r="S5" s="51"/>
      <x:c r="T5" s="51"/>
      <x:c r="U5" s="51"/>
      <x:c r="V5" s="51"/>
      <x:c r="W5" s="51"/>
      <x:c r="X5" s="51"/>
      <x:c r="Y5" s="51"/>
      <x:c r="Z5" s="51"/>
    </x:row>
    <x:row r="6" ht="15" hidden="0" customHeight="1">
      <x:c r="A6" s="51" t="str">
        <x:v>V-005</x:v>
      </x:c>
      <x:c r="B6" s="51" t="str">
        <x:v>RLR_norm</x:v>
      </x:c>
      <x:c r="C6" s="51" t="str">
        <x:v>Resource Value Retention / Composite G</x:v>
      </x:c>
      <x:c r="D6" s="51" t="str">
        <x:v>Normalised inverse of resource leakage where higher is better.</x:v>
      </x:c>
      <x:c r="E6" s="51" t="str">
        <x:v>=1-MIN(RLR_raw,1)</x:v>
      </x:c>
      <x:c r="F6" s="51" t="str">
        <x:v>RLR_raw.</x:v>
      </x:c>
      <x:c r="G6" s="51" t="str">
        <x:v>Apply cap at 1.0 for extreme leakage ratios.</x:v>
      </x:c>
      <x:c r="H6" s="51" t="str">
        <x:v>Flag if RLR_raw exceeds 1.0.</x:v>
      </x:c>
      <x:c r="I6" s="51" t="str">
        <x:v>Agbabu: 1 − 0.47 = 0.53.</x:v>
      </x:c>
      <x:c r="J6" s="51" t="str">
        <x:v>Formula should produce 0–1 only.</x:v>
      </x:c>
      <x:c r="K6" s="51"/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</x:row>
    <x:row r="7" ht="15" hidden="0" customHeight="1">
      <x:c r="A7" s="51" t="str">
        <x:v>V-006</x:v>
      </x:c>
      <x:c r="B7" s="51" t="str">
        <x:v>RCS</x:v>
      </x:c>
      <x:c r="C7" s="51" t="str">
        <x:v>Decision Stability / Layer 3</x:v>
      </x:c>
      <x:c r="D7" s="51" t="str">
        <x:v>Standardised measure of decision consistency across comparable cases.</x:v>
      </x:c>
      <x:c r="E7" s="51" t="str">
        <x:v>Numeric score 0–1</x:v>
      </x:c>
      <x:c r="F7" s="51" t="str">
        <x:v>Decision registers, officer decisions, WGI proxy if registers unavailable.</x:v>
      </x:c>
      <x:c r="G7" s="51" t="str">
        <x:v>Use case-level variance metric where available; otherwise state proxy basis.</x:v>
      </x:c>
      <x:c r="H7" s="51" t="str">
        <x:v>Proxy values must be labelled Estimated.</x:v>
      </x:c>
      <x:c r="I7" s="51" t="str">
        <x:v>Agbabu baseline: 0.31; South Africa baseline: 0.48.</x:v>
      </x:c>
      <x:c r="J7" s="51" t="str">
        <x:v>Check whether true register data or proxy was used.</x:v>
      </x:c>
      <x:c r="K7" s="51"/>
      <x:c r="L7" s="51"/>
      <x:c r="M7" s="51"/>
      <x:c r="N7" s="51"/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</x:row>
    <x:row r="8" ht="15" hidden="0" customHeight="1">
      <x:c r="A8" s="51" t="str">
        <x:v>V-007</x:v>
      </x:c>
      <x:c r="B8" s="51" t="str">
        <x:v>AAI</x:v>
      </x:c>
      <x:c r="C8" s="51" t="str">
        <x:v>Auditability / Layer 4</x:v>
      </x:c>
      <x:c r="D8" s="51" t="str">
        <x:v>Composite of audit trail completeness, explainability compliance, and ethics oversight engagement.</x:v>
      </x:c>
      <x:c r="E8" s="51" t="str">
        <x:v>=AVERAGE(ATC,EC,EOE)</x:v>
      </x:c>
      <x:c r="F8" s="51" t="str">
        <x:v>Audit logs, explanation records, ethics oversight activity logs.</x:v>
      </x:c>
      <x:c r="G8" s="51" t="str">
        <x:v>Record subcomponents separately in Stage 2; Stage 1 may use documented estimates.</x:v>
      </x:c>
      <x:c r="H8" s="51" t="str">
        <x:v>Estimated AAI requires explanation of ATC, EC, and EOE assumptions.</x:v>
      </x:c>
      <x:c r="I8" s="51" t="str">
        <x:v>Agbabu baseline: 0.14; projected 0.73.</x:v>
      </x:c>
      <x:c r="J8" s="51" t="str">
        <x:v>Check subcomponent traceability.</x:v>
      </x:c>
      <x:c r="K8" s="51"/>
      <x:c r="L8" s="51"/>
      <x:c r="M8" s="51"/>
      <x:c r="N8" s="51"/>
      <x:c r="O8" s="51"/>
      <x:c r="P8" s="51"/>
      <x:c r="Q8" s="51"/>
      <x:c r="R8" s="51"/>
      <x:c r="S8" s="51"/>
      <x:c r="T8" s="51"/>
      <x:c r="U8" s="51"/>
      <x:c r="V8" s="51"/>
      <x:c r="W8" s="51"/>
      <x:c r="X8" s="51"/>
      <x:c r="Y8" s="51"/>
      <x:c r="Z8" s="51"/>
    </x:row>
    <x:row r="9" ht="15" hidden="0" customHeight="1">
      <x:c r="A9" s="51" t="str">
        <x:v>V-008</x:v>
      </x:c>
      <x:c r="B9" s="51" t="str">
        <x:v>G_linear</x:v>
      </x:c>
      <x:c r="C9" s="51" t="str">
        <x:v>Composite performance</x:v>
      </x:c>
      <x:c r="D9" s="51" t="str">
        <x:v>Equal- or weighted-sum composite of normalised indices.</x:v>
      </x:c>
      <x:c r="E9" s="51" t="str">
        <x:v>=SUMPRODUCT(weights,normalised_indices)</x:v>
      </x:c>
      <x:c r="F9" s="51" t="str">
        <x:v>RLI_norm, CDR, RLR_norm, RCS, AAI, weights.</x:v>
      </x:c>
      <x:c r="G9" s="51" t="str">
        <x:v>Weights must sum to 1.0. Use equal weights for Stage 1 default.</x:v>
      </x:c>
      <x:c r="H9" s="51" t="str">
        <x:v>Run sensitivity analysis for alternative weights.</x:v>
      </x:c>
      <x:c r="I9" s="51" t="str">
        <x:v>Agbabu baseline G = 0.30; projected G = 0.73.</x:v>
      </x:c>
      <x:c r="J9" s="51" t="str">
        <x:v>Check weight sum and boundedness.</x:v>
      </x:c>
      <x:c r="K9" s="51"/>
      <x:c r="L9" s="51"/>
      <x:c r="M9" s="51"/>
      <x:c r="N9" s="51"/>
      <x:c r="O9" s="51"/>
      <x:c r="P9" s="51"/>
      <x:c r="Q9" s="51"/>
      <x:c r="R9" s="51"/>
      <x:c r="S9" s="51"/>
      <x:c r="T9" s="51"/>
      <x:c r="U9" s="51"/>
      <x:c r="V9" s="51"/>
      <x:c r="W9" s="51"/>
      <x:c r="X9" s="51"/>
      <x:c r="Y9" s="51"/>
      <x:c r="Z9" s="51"/>
    </x:row>
    <x:row r="10" ht="15" hidden="0" customHeight="1">
      <x:c r="A10" s="51" t="str">
        <x:v>V-009</x:v>
      </x:c>
      <x:c r="B10" s="51" t="str">
        <x:v>G_geometric</x:v>
      </x:c>
      <x:c r="C10" s="51" t="str">
        <x:v>Nonlinear robustness</x:v>
      </x:c>
      <x:c r="D10" s="51" t="str">
        <x:v>Non-compensatory geometric-mean composite.</x:v>
      </x:c>
      <x:c r="E10" s="51" t="str">
        <x:v>=PRODUCT(indices)^(1/5)</x:v>
      </x:c>
      <x:c r="F10" s="51" t="str">
        <x:v>Five normalised indices.</x:v>
      </x:c>
      <x:c r="G10" s="51" t="str">
        <x:v>Use only where all index values are positive; zero produces zero.</x:v>
      </x:c>
      <x:c r="H10" s="51" t="str">
        <x:v>Report separately from linear G.</x:v>
      </x:c>
      <x:c r="I10" s="51" t="str">
        <x:v>Agbabu baseline G′ = 0.27; projected G′ = 0.72.</x:v>
      </x:c>
      <x:c r="J10" s="51" t="str">
        <x:v>Check if zero values require interpretation.</x:v>
      </x:c>
      <x:c r="K10" s="51"/>
      <x:c r="L10" s="51"/>
      <x:c r="M10" s="51"/>
      <x:c r="N10" s="51"/>
      <x:c r="O10" s="51"/>
      <x:c r="P10" s="51"/>
      <x:c r="Q10" s="51"/>
      <x:c r="R10" s="51"/>
      <x:c r="S10" s="51"/>
      <x:c r="T10" s="51"/>
      <x:c r="U10" s="51"/>
      <x:c r="V10" s="51"/>
      <x:c r="W10" s="51"/>
      <x:c r="X10" s="51"/>
      <x:c r="Y10" s="51"/>
      <x:c r="Z10" s="51"/>
    </x:row>
    <x:row r="11" ht="15" hidden="0" customHeight="1">
      <x:c r="A11" s="51" t="str">
        <x:v>V-010</x:v>
      </x:c>
      <x:c r="B11" s="51" t="str">
        <x:v>Data_Status</x:v>
      </x:c>
      <x:c r="C11" s="51" t="str">
        <x:v>Access metadata</x:v>
      </x:c>
      <x:c r="D11" s="51" t="str">
        <x:v>Indicates empirical status of a corpus row or metric value.</x:v>
      </x:c>
      <x:c r="E11" s="51" t="str">
        <x:v>Measured; Partly measured; Estimated; Structured estimate; Synthetic demonstration; Restricted pending access</x:v>
      </x:c>
      <x:c r="F11" s="51" t="str">
        <x:v>Source evidence and access trail.</x:v>
      </x:c>
      <x:c r="G11" s="51" t="str">
        <x:v>Never label a projected or proxy value as measured.</x:v>
      </x:c>
      <x:c r="H11" s="51" t="str">
        <x:v>Use Conservative/Moderate/Optimistic uncertainty tags if needed.</x:v>
      </x:c>
      <x:c r="I11" s="51" t="str">
        <x:v>Agbabu values are structured estimates with uncertainty ranges.</x:v>
      </x:c>
      <x:c r="J11" s="51" t="str">
        <x:v>Check consistency with manuscript limitations.</x:v>
      </x:c>
      <x:c r="K11" s="51"/>
      <x:c r="L11" s="51"/>
      <x:c r="M11" s="51"/>
      <x:c r="N11" s="51"/>
      <x:c r="O11" s="51"/>
      <x:c r="P11" s="51"/>
      <x:c r="Q11" s="51"/>
      <x:c r="R11" s="51"/>
      <x:c r="S11" s="51"/>
      <x:c r="T11" s="51"/>
      <x:c r="U11" s="51"/>
      <x:c r="V11" s="51"/>
      <x:c r="W11" s="51"/>
      <x:c r="X11" s="51"/>
      <x:c r="Y11" s="51"/>
      <x:c r="Z11" s="51"/>
    </x:row>
    <x:row r="12" ht="15" hidden="0" customHeight="1">
      <x:c r="A12" s="51" t="str">
        <x:v>V-011</x:v>
      </x:c>
      <x:c r="B12" s="51" t="str">
        <x:v>Access_Level</x:v>
      </x:c>
      <x:c r="C12" s="51" t="str">
        <x:v>Access metadata</x:v>
      </x:c>
      <x:c r="D12" s="51" t="str">
        <x:v>Indicates whether the underlying document/data can be accessed by reviewers.</x:v>
      </x:c>
      <x:c r="E12" s="51" t="str">
        <x:v>Public; Public/proxy; Restricted; Confidential; Not redistributable</x:v>
      </x:c>
      <x:c r="F12" s="51" t="str">
        <x:v>URL, repository, data request letter, or access owner.</x:v>
      </x:c>
      <x:c r="G12" s="51" t="str">
        <x:v>Restricted data require a metadata-only or synthetic substitute.</x:v>
      </x:c>
      <x:c r="H12" s="51" t="str">
        <x:v>If access not possible, provide reproducibility proxy.</x:v>
      </x:c>
      <x:c r="I12" s="51" t="str">
        <x:v>NUPRC/Ondo logs: restricted/pending access.</x:v>
      </x:c>
      <x:c r="J12" s="51" t="str">
        <x:v>Check presence of replication note.</x:v>
      </x:c>
      <x:c r="K12" s="51"/>
      <x:c r="L12" s="51"/>
      <x:c r="M12" s="51"/>
      <x:c r="N12" s="51"/>
      <x:c r="O12" s="51"/>
      <x:c r="P12" s="51"/>
      <x:c r="Q12" s="51"/>
      <x:c r="R12" s="51"/>
      <x:c r="S12" s="51"/>
      <x:c r="T12" s="51"/>
      <x:c r="U12" s="51"/>
      <x:c r="V12" s="51"/>
      <x:c r="W12" s="51"/>
      <x:c r="X12" s="51"/>
      <x:c r="Y12" s="51"/>
      <x:c r="Z12" s="51"/>
    </x:row>
    <x:row r="13" ht="15" hidden="0" customHeight="1">
      <x:c r="A13" s="51" t="str">
        <x:v>V-012</x:v>
      </x:c>
      <x:c r="B13" s="51" t="str">
        <x:v>Statutory_Rule_ID</x:v>
      </x:c>
      <x:c r="C13" s="51" t="str">
        <x:v>Layer 3</x:v>
      </x:c>
      <x:c r="D13" s="51" t="str">
        <x:v>Unique identifier for encoded legal or administrative rule.</x:v>
      </x:c>
      <x:c r="E13" s="51" t="str">
        <x:v>SR-001 etc.</x:v>
      </x:c>
      <x:c r="F13" s="51" t="str">
        <x:v>Legal provision, regulator guideline, or administrative rule.</x:v>
      </x:c>
      <x:c r="G13" s="51" t="str">
        <x:v>Each rule must have condition, threshold, action, authority, and review status.</x:v>
      </x:c>
      <x:c r="H13" s="51" t="str">
        <x:v>Draft rules remain illustrative until legal counsel validates.</x:v>
      </x:c>
      <x:c r="I13" s="51" t="str">
        <x:v>IF production declaration &lt; estimated × 0.85 THEN trigger review.</x:v>
      </x:c>
      <x:c r="J13" s="51" t="str">
        <x:v>Check legal validation status.</x:v>
      </x:c>
      <x:c r="K13" s="51"/>
      <x:c r="L13" s="51"/>
      <x:c r="M13" s="51"/>
      <x:c r="N13" s="51"/>
      <x:c r="O13" s="51"/>
      <x:c r="P13" s="51"/>
      <x:c r="Q13" s="51"/>
      <x:c r="R13" s="51"/>
      <x:c r="S13" s="51"/>
      <x:c r="T13" s="51"/>
      <x:c r="U13" s="51"/>
      <x:c r="V13" s="51"/>
      <x:c r="W13" s="51"/>
      <x:c r="X13" s="51"/>
      <x:c r="Y13" s="51"/>
      <x:c r="Z13" s="51"/>
    </x:row>
    <x:row r="14" ht="15" hidden="0" customHeight="1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  <x:c r="O14" s="51"/>
      <x:c r="P14" s="51"/>
      <x:c r="Q14" s="51"/>
      <x:c r="R14" s="51"/>
      <x:c r="S14" s="51"/>
      <x:c r="T14" s="51"/>
      <x:c r="U14" s="51"/>
      <x:c r="V14" s="51"/>
      <x:c r="W14" s="51"/>
      <x:c r="X14" s="51"/>
      <x:c r="Y14" s="51"/>
      <x:c r="Z14" s="51"/>
    </x:row>
    <x:row r="15" ht="15" hidden="0" customHeight="1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  <x:c r="P15" s="51"/>
      <x:c r="Q15" s="51"/>
      <x:c r="R15" s="51"/>
      <x:c r="S15" s="51"/>
      <x:c r="T15" s="51"/>
      <x:c r="U15" s="51"/>
      <x:c r="V15" s="51"/>
      <x:c r="W15" s="51"/>
      <x:c r="X15" s="51"/>
      <x:c r="Y15" s="51"/>
      <x:c r="Z15" s="51"/>
    </x:row>
    <x:row r="16" ht="15" hidden="0" customHeight="1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  <x:c r="O16" s="51"/>
      <x:c r="P16" s="51"/>
      <x:c r="Q16" s="51"/>
      <x:c r="R16" s="51"/>
      <x:c r="S16" s="51"/>
      <x:c r="T16" s="51"/>
      <x:c r="U16" s="51"/>
      <x:c r="V16" s="51"/>
      <x:c r="W16" s="51"/>
      <x:c r="X16" s="51"/>
      <x:c r="Y16" s="51"/>
      <x:c r="Z16" s="51"/>
    </x:row>
    <x:row r="17" ht="15" hidden="0" customHeight="1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  <x:c r="O17" s="51"/>
      <x:c r="P17" s="51"/>
      <x:c r="Q17" s="51"/>
      <x:c r="R17" s="51"/>
      <x:c r="S17" s="51"/>
      <x:c r="T17" s="51"/>
      <x:c r="U17" s="51"/>
      <x:c r="V17" s="51"/>
      <x:c r="W17" s="51"/>
      <x:c r="X17" s="51"/>
      <x:c r="Y17" s="51"/>
      <x:c r="Z17" s="51"/>
    </x:row>
    <x:row r="18" ht="15" hidden="0" customHeight="1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  <x:c r="O18" s="51"/>
      <x:c r="P18" s="51"/>
      <x:c r="Q18" s="51"/>
      <x:c r="R18" s="51"/>
      <x:c r="S18" s="51"/>
      <x:c r="T18" s="51"/>
      <x:c r="U18" s="51"/>
      <x:c r="V18" s="51"/>
      <x:c r="W18" s="51"/>
      <x:c r="X18" s="51"/>
      <x:c r="Y18" s="51"/>
      <x:c r="Z18" s="51"/>
    </x:row>
    <x:row r="19" ht="15" hidden="0" customHeight="1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  <x:c r="O19" s="51"/>
      <x:c r="P19" s="51"/>
      <x:c r="Q19" s="51"/>
      <x:c r="R19" s="51"/>
      <x:c r="S19" s="51"/>
      <x:c r="T19" s="51"/>
      <x:c r="U19" s="51"/>
      <x:c r="V19" s="51"/>
      <x:c r="W19" s="51"/>
      <x:c r="X19" s="51"/>
      <x:c r="Y19" s="51"/>
      <x:c r="Z19" s="51"/>
    </x:row>
    <x:row r="20" ht="15" hidden="0" customHeight="1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  <x:c r="P20" s="51"/>
      <x:c r="Q20" s="51"/>
      <x:c r="R20" s="51"/>
      <x:c r="S20" s="51"/>
      <x:c r="T20" s="51"/>
      <x:c r="U20" s="51"/>
      <x:c r="V20" s="51"/>
      <x:c r="W20" s="51"/>
      <x:c r="X20" s="51"/>
      <x:c r="Y20" s="51"/>
      <x:c r="Z20" s="51"/>
    </x:row>
    <x:row r="21" ht="15" hidden="0" customHeight="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  <x:c r="P21" s="51"/>
      <x:c r="Q21" s="51"/>
      <x:c r="R21" s="51"/>
      <x:c r="S21" s="51"/>
      <x:c r="T21" s="51"/>
      <x:c r="U21" s="51"/>
      <x:c r="V21" s="51"/>
      <x:c r="W21" s="51"/>
      <x:c r="X21" s="51"/>
      <x:c r="Y21" s="51"/>
      <x:c r="Z21" s="51"/>
    </x:row>
    <x:row r="22" ht="15" hidden="0" customHeight="1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  <x:c r="P22" s="51"/>
      <x:c r="Q22" s="51"/>
      <x:c r="R22" s="51"/>
      <x:c r="S22" s="51"/>
      <x:c r="T22" s="51"/>
      <x:c r="U22" s="51"/>
      <x:c r="V22" s="51"/>
      <x:c r="W22" s="51"/>
      <x:c r="X22" s="51"/>
      <x:c r="Y22" s="51"/>
      <x:c r="Z22" s="51"/>
    </x:row>
    <x:row r="23" ht="15" hidden="0" customHeight="1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  <x:c r="P23" s="51"/>
      <x:c r="Q23" s="51"/>
      <x:c r="R23" s="51"/>
      <x:c r="S23" s="51"/>
      <x:c r="T23" s="51"/>
      <x:c r="U23" s="51"/>
      <x:c r="V23" s="51"/>
      <x:c r="W23" s="51"/>
      <x:c r="X23" s="51"/>
      <x:c r="Y23" s="51"/>
      <x:c r="Z23" s="51"/>
    </x:row>
    <x:row r="24" ht="15" hidden="0" customHeight="1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  <x:c r="P24" s="51"/>
      <x:c r="Q24" s="51"/>
      <x:c r="R24" s="51"/>
      <x:c r="S24" s="51"/>
      <x:c r="T24" s="51"/>
      <x:c r="U24" s="51"/>
      <x:c r="V24" s="51"/>
      <x:c r="W24" s="51"/>
      <x:c r="X24" s="51"/>
      <x:c r="Y24" s="51"/>
      <x:c r="Z24" s="51"/>
    </x:row>
    <x:row r="25" ht="15" hidden="0" customHeight="1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  <x:c r="P25" s="51"/>
      <x:c r="Q25" s="51"/>
      <x:c r="R25" s="51"/>
      <x:c r="S25" s="51"/>
      <x:c r="T25" s="51"/>
      <x:c r="U25" s="51"/>
      <x:c r="V25" s="51"/>
      <x:c r="W25" s="51"/>
      <x:c r="X25" s="51"/>
      <x:c r="Y25" s="51"/>
      <x:c r="Z25" s="51"/>
    </x:row>
    <x:row r="26" ht="15" hidden="0" customHeight="1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  <x:c r="P26" s="51"/>
      <x:c r="Q26" s="51"/>
      <x:c r="R26" s="51"/>
      <x:c r="S26" s="51"/>
      <x:c r="T26" s="51"/>
      <x:c r="U26" s="51"/>
      <x:c r="V26" s="51"/>
      <x:c r="W26" s="51"/>
      <x:c r="X26" s="51"/>
      <x:c r="Y26" s="51"/>
      <x:c r="Z26" s="51"/>
    </x:row>
    <x:row r="27" ht="15" hidden="0" customHeight="1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  <x:c r="P27" s="51"/>
      <x:c r="Q27" s="51"/>
      <x:c r="R27" s="51"/>
      <x:c r="S27" s="51"/>
      <x:c r="T27" s="51"/>
      <x:c r="U27" s="51"/>
      <x:c r="V27" s="51"/>
      <x:c r="W27" s="51"/>
      <x:c r="X27" s="51"/>
      <x:c r="Y27" s="51"/>
      <x:c r="Z27" s="51"/>
    </x:row>
    <x:row r="28" ht="15" hidden="0" customHeight="1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  <x:c r="P28" s="51"/>
      <x:c r="Q28" s="51"/>
      <x:c r="R28" s="51"/>
      <x:c r="S28" s="51"/>
      <x:c r="T28" s="51"/>
      <x:c r="U28" s="51"/>
      <x:c r="V28" s="51"/>
      <x:c r="W28" s="51"/>
      <x:c r="X28" s="51"/>
      <x:c r="Y28" s="51"/>
      <x:c r="Z28" s="51"/>
    </x:row>
    <x:row r="29" ht="15" hidden="0" customHeight="1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  <x:c r="P29" s="51"/>
      <x:c r="Q29" s="51"/>
      <x:c r="R29" s="51"/>
      <x:c r="S29" s="51"/>
      <x:c r="T29" s="51"/>
      <x:c r="U29" s="51"/>
      <x:c r="V29" s="51"/>
      <x:c r="W29" s="51"/>
      <x:c r="X29" s="51"/>
      <x:c r="Y29" s="51"/>
      <x:c r="Z29" s="51"/>
    </x:row>
    <x:row r="30" ht="15" hidden="0" customHeight="1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  <x:c r="P30" s="51"/>
      <x:c r="Q30" s="51"/>
      <x:c r="R30" s="51"/>
      <x:c r="S30" s="51"/>
      <x:c r="T30" s="51"/>
      <x:c r="U30" s="51"/>
      <x:c r="V30" s="51"/>
      <x:c r="W30" s="51"/>
      <x:c r="X30" s="51"/>
      <x:c r="Y30" s="51"/>
      <x:c r="Z30" s="51"/>
    </x:row>
    <x:row r="31" ht="15" hidden="0" customHeight="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  <x:c r="P31" s="51"/>
      <x:c r="Q31" s="51"/>
      <x:c r="R31" s="51"/>
      <x:c r="S31" s="51"/>
      <x:c r="T31" s="51"/>
      <x:c r="U31" s="51"/>
      <x:c r="V31" s="51"/>
      <x:c r="W31" s="51"/>
      <x:c r="X31" s="51"/>
      <x:c r="Y31" s="51"/>
      <x:c r="Z31" s="51"/>
    </x:row>
    <x:row r="32" ht="15" hidden="0" customHeight="1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  <x:c r="P32" s="51"/>
      <x:c r="Q32" s="51"/>
      <x:c r="R32" s="51"/>
      <x:c r="S32" s="51"/>
      <x:c r="T32" s="51"/>
      <x:c r="U32" s="51"/>
      <x:c r="V32" s="51"/>
      <x:c r="W32" s="51"/>
      <x:c r="X32" s="51"/>
      <x:c r="Y32" s="51"/>
      <x:c r="Z32" s="51"/>
    </x:row>
    <x:row r="33" ht="15" hidden="0" customHeight="1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  <x:c r="P33" s="51"/>
      <x:c r="Q33" s="51"/>
      <x:c r="R33" s="51"/>
      <x:c r="S33" s="51"/>
      <x:c r="T33" s="51"/>
      <x:c r="U33" s="51"/>
      <x:c r="V33" s="51"/>
      <x:c r="W33" s="51"/>
      <x:c r="X33" s="51"/>
      <x:c r="Y33" s="51"/>
      <x:c r="Z33" s="51"/>
    </x:row>
    <x:row r="34" ht="15" hidden="0" customHeight="1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  <x:c r="P34" s="51"/>
      <x:c r="Q34" s="51"/>
      <x:c r="R34" s="51"/>
      <x:c r="S34" s="51"/>
      <x:c r="T34" s="51"/>
      <x:c r="U34" s="51"/>
      <x:c r="V34" s="51"/>
      <x:c r="W34" s="51"/>
      <x:c r="X34" s="51"/>
      <x:c r="Y34" s="51"/>
      <x:c r="Z34" s="51"/>
    </x:row>
    <x:row r="35" ht="15" hidden="0" customHeight="1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  <x:c r="P35" s="51"/>
      <x:c r="Q35" s="51"/>
      <x:c r="R35" s="51"/>
      <x:c r="S35" s="51"/>
      <x:c r="T35" s="51"/>
      <x:c r="U35" s="51"/>
      <x:c r="V35" s="51"/>
      <x:c r="W35" s="51"/>
      <x:c r="X35" s="51"/>
      <x:c r="Y35" s="51"/>
      <x:c r="Z35" s="51"/>
    </x:row>
    <x:row r="36" ht="15" hidden="0" customHeight="1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  <x:c r="P36" s="51"/>
      <x:c r="Q36" s="51"/>
      <x:c r="R36" s="51"/>
      <x:c r="S36" s="51"/>
      <x:c r="T36" s="51"/>
      <x:c r="U36" s="51"/>
      <x:c r="V36" s="51"/>
      <x:c r="W36" s="51"/>
      <x:c r="X36" s="51"/>
      <x:c r="Y36" s="51"/>
      <x:c r="Z36" s="51"/>
    </x:row>
    <x:row r="37" ht="15" hidden="0" customHeight="1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  <x:c r="P37" s="51"/>
      <x:c r="Q37" s="51"/>
      <x:c r="R37" s="51"/>
      <x:c r="S37" s="51"/>
      <x:c r="T37" s="51"/>
      <x:c r="U37" s="51"/>
      <x:c r="V37" s="51"/>
      <x:c r="W37" s="51"/>
      <x:c r="X37" s="51"/>
      <x:c r="Y37" s="51"/>
      <x:c r="Z37" s="51"/>
    </x:row>
    <x:row r="38" ht="15" hidden="0" customHeight="1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  <x:c r="P38" s="51"/>
      <x:c r="Q38" s="51"/>
      <x:c r="R38" s="51"/>
      <x:c r="S38" s="51"/>
      <x:c r="T38" s="51"/>
      <x:c r="U38" s="51"/>
      <x:c r="V38" s="51"/>
      <x:c r="W38" s="51"/>
      <x:c r="X38" s="51"/>
      <x:c r="Y38" s="51"/>
      <x:c r="Z38" s="51"/>
    </x:row>
    <x:row r="39" ht="15" hidden="0" customHeight="1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  <x:c r="P39" s="51"/>
      <x:c r="Q39" s="51"/>
      <x:c r="R39" s="51"/>
      <x:c r="S39" s="51"/>
      <x:c r="T39" s="51"/>
      <x:c r="U39" s="51"/>
      <x:c r="V39" s="51"/>
      <x:c r="W39" s="51"/>
      <x:c r="X39" s="51"/>
      <x:c r="Y39" s="51"/>
      <x:c r="Z39" s="51"/>
    </x:row>
    <x:row r="40" ht="15" hidden="0" customHeight="1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  <x:c r="P40" s="51"/>
      <x:c r="Q40" s="51"/>
      <x:c r="R40" s="51"/>
      <x:c r="S40" s="51"/>
      <x:c r="T40" s="51"/>
      <x:c r="U40" s="51"/>
      <x:c r="V40" s="51"/>
      <x:c r="W40" s="51"/>
      <x:c r="X40" s="51"/>
      <x:c r="Y40" s="51"/>
      <x:c r="Z40" s="51"/>
    </x:row>
    <x:row r="41" ht="15" hidden="0" customHeight="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  <x:c r="P41" s="51"/>
      <x:c r="Q41" s="51"/>
      <x:c r="R41" s="51"/>
      <x:c r="S41" s="51"/>
      <x:c r="T41" s="51"/>
      <x:c r="U41" s="51"/>
      <x:c r="V41" s="51"/>
      <x:c r="W41" s="51"/>
      <x:c r="X41" s="51"/>
      <x:c r="Y41" s="51"/>
      <x:c r="Z41" s="51"/>
    </x:row>
    <x:row r="42" ht="15" hidden="0" customHeight="1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  <x:c r="P42" s="51"/>
      <x:c r="Q42" s="51"/>
      <x:c r="R42" s="51"/>
      <x:c r="S42" s="51"/>
      <x:c r="T42" s="51"/>
      <x:c r="U42" s="51"/>
      <x:c r="V42" s="51"/>
      <x:c r="W42" s="51"/>
      <x:c r="X42" s="51"/>
      <x:c r="Y42" s="51"/>
      <x:c r="Z42" s="51"/>
    </x:row>
    <x:row r="43" ht="15" hidden="0" customHeight="1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  <x:c r="P43" s="51"/>
      <x:c r="Q43" s="51"/>
      <x:c r="R43" s="51"/>
      <x:c r="S43" s="51"/>
      <x:c r="T43" s="51"/>
      <x:c r="U43" s="51"/>
      <x:c r="V43" s="51"/>
      <x:c r="W43" s="51"/>
      <x:c r="X43" s="51"/>
      <x:c r="Y43" s="51"/>
      <x:c r="Z43" s="51"/>
    </x:row>
    <x:row r="44" ht="15" hidden="0" customHeight="1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  <x:c r="P44" s="51"/>
      <x:c r="Q44" s="51"/>
      <x:c r="R44" s="51"/>
      <x:c r="S44" s="51"/>
      <x:c r="T44" s="51"/>
      <x:c r="U44" s="51"/>
      <x:c r="V44" s="51"/>
      <x:c r="W44" s="51"/>
      <x:c r="X44" s="51"/>
      <x:c r="Y44" s="51"/>
      <x:c r="Z44" s="51"/>
    </x:row>
    <x:row r="45" ht="15" hidden="0" customHeight="1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  <x:c r="P45" s="51"/>
      <x:c r="Q45" s="51"/>
      <x:c r="R45" s="51"/>
      <x:c r="S45" s="51"/>
      <x:c r="T45" s="51"/>
      <x:c r="U45" s="51"/>
      <x:c r="V45" s="51"/>
      <x:c r="W45" s="51"/>
      <x:c r="X45" s="51"/>
      <x:c r="Y45" s="51"/>
      <x:c r="Z45" s="51"/>
    </x:row>
    <x:row r="46" ht="15" hidden="0" customHeight="1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  <x:c r="P46" s="51"/>
      <x:c r="Q46" s="51"/>
      <x:c r="R46" s="51"/>
      <x:c r="S46" s="51"/>
      <x:c r="T46" s="51"/>
      <x:c r="U46" s="51"/>
      <x:c r="V46" s="51"/>
      <x:c r="W46" s="51"/>
      <x:c r="X46" s="51"/>
      <x:c r="Y46" s="51"/>
      <x:c r="Z46" s="51"/>
    </x:row>
    <x:row r="47" ht="15" hidden="0" customHeight="1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  <x:c r="P47" s="51"/>
      <x:c r="Q47" s="51"/>
      <x:c r="R47" s="51"/>
      <x:c r="S47" s="51"/>
      <x:c r="T47" s="51"/>
      <x:c r="U47" s="51"/>
      <x:c r="V47" s="51"/>
      <x:c r="W47" s="51"/>
      <x:c r="X47" s="51"/>
      <x:c r="Y47" s="51"/>
      <x:c r="Z47" s="51"/>
    </x:row>
    <x:row r="48" ht="15" hidden="0" customHeight="1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  <x:c r="P48" s="51"/>
      <x:c r="Q48" s="51"/>
      <x:c r="R48" s="51"/>
      <x:c r="S48" s="51"/>
      <x:c r="T48" s="51"/>
      <x:c r="U48" s="51"/>
      <x:c r="V48" s="51"/>
      <x:c r="W48" s="51"/>
      <x:c r="X48" s="51"/>
      <x:c r="Y48" s="51"/>
      <x:c r="Z48" s="51"/>
    </x:row>
    <x:row r="49" ht="15" hidden="0" customHeight="1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  <x:c r="P49" s="51"/>
      <x:c r="Q49" s="51"/>
      <x:c r="R49" s="51"/>
      <x:c r="S49" s="51"/>
      <x:c r="T49" s="51"/>
      <x:c r="U49" s="51"/>
      <x:c r="V49" s="51"/>
      <x:c r="W49" s="51"/>
      <x:c r="X49" s="51"/>
      <x:c r="Y49" s="51"/>
      <x:c r="Z49" s="51"/>
    </x:row>
    <x:row r="50" ht="15" hidden="0" customHeight="1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  <x:c r="P50" s="51"/>
      <x:c r="Q50" s="51"/>
      <x:c r="R50" s="51"/>
      <x:c r="S50" s="51"/>
      <x:c r="T50" s="51"/>
      <x:c r="U50" s="51"/>
      <x:c r="V50" s="51"/>
      <x:c r="W50" s="51"/>
      <x:c r="X50" s="51"/>
      <x:c r="Y50" s="51"/>
      <x:c r="Z50" s="51"/>
    </x:row>
    <x:row r="51" ht="15" hidden="0" customHeight="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  <x:c r="O51" s="51"/>
      <x:c r="P51" s="51"/>
      <x:c r="Q51" s="51"/>
      <x:c r="R51" s="51"/>
      <x:c r="S51" s="51"/>
      <x:c r="T51" s="51"/>
      <x:c r="U51" s="51"/>
      <x:c r="V51" s="51"/>
      <x:c r="W51" s="51"/>
      <x:c r="X51" s="51"/>
      <x:c r="Y51" s="51"/>
      <x:c r="Z51" s="51"/>
    </x:row>
    <x:row r="52" ht="15" hidden="0" customHeight="1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  <x:c r="N52" s="51"/>
      <x:c r="O52" s="51"/>
      <x:c r="P52" s="51"/>
      <x:c r="Q52" s="51"/>
      <x:c r="R52" s="51"/>
      <x:c r="S52" s="51"/>
      <x:c r="T52" s="51"/>
      <x:c r="U52" s="51"/>
      <x:c r="V52" s="51"/>
      <x:c r="W52" s="51"/>
      <x:c r="X52" s="51"/>
      <x:c r="Y52" s="51"/>
      <x:c r="Z52" s="51"/>
    </x:row>
    <x:row r="53" ht="15" hidden="0" customHeight="1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  <x:c r="N53" s="51"/>
      <x:c r="O53" s="51"/>
      <x:c r="P53" s="51"/>
      <x:c r="Q53" s="51"/>
      <x:c r="R53" s="51"/>
      <x:c r="S53" s="51"/>
      <x:c r="T53" s="51"/>
      <x:c r="U53" s="51"/>
      <x:c r="V53" s="51"/>
      <x:c r="W53" s="51"/>
      <x:c r="X53" s="51"/>
      <x:c r="Y53" s="51"/>
      <x:c r="Z53" s="51"/>
    </x:row>
    <x:row r="54" ht="15" hidden="0" customHeight="1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  <x:c r="O54" s="51"/>
      <x:c r="P54" s="51"/>
      <x:c r="Q54" s="51"/>
      <x:c r="R54" s="51"/>
      <x:c r="S54" s="51"/>
      <x:c r="T54" s="51"/>
      <x:c r="U54" s="51"/>
      <x:c r="V54" s="51"/>
      <x:c r="W54" s="51"/>
      <x:c r="X54" s="51"/>
      <x:c r="Y54" s="51"/>
      <x:c r="Z54" s="51"/>
    </x:row>
    <x:row r="55" ht="15" hidden="0" customHeight="1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  <x:c r="O55" s="51"/>
      <x:c r="P55" s="51"/>
      <x:c r="Q55" s="51"/>
      <x:c r="R55" s="51"/>
      <x:c r="S55" s="51"/>
      <x:c r="T55" s="51"/>
      <x:c r="U55" s="51"/>
      <x:c r="V55" s="51"/>
      <x:c r="W55" s="51"/>
      <x:c r="X55" s="51"/>
      <x:c r="Y55" s="51"/>
      <x:c r="Z55" s="51"/>
    </x:row>
    <x:row r="56" ht="15" hidden="0" customHeight="1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  <x:c r="O56" s="51"/>
      <x:c r="P56" s="51"/>
      <x:c r="Q56" s="51"/>
      <x:c r="R56" s="51"/>
      <x:c r="S56" s="51"/>
      <x:c r="T56" s="51"/>
      <x:c r="U56" s="51"/>
      <x:c r="V56" s="51"/>
      <x:c r="W56" s="51"/>
      <x:c r="X56" s="51"/>
      <x:c r="Y56" s="51"/>
      <x:c r="Z56" s="51"/>
    </x:row>
    <x:row r="57" ht="15" hidden="0" customHeight="1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  <x:c r="O57" s="51"/>
      <x:c r="P57" s="51"/>
      <x:c r="Q57" s="51"/>
      <x:c r="R57" s="51"/>
      <x:c r="S57" s="51"/>
      <x:c r="T57" s="51"/>
      <x:c r="U57" s="51"/>
      <x:c r="V57" s="51"/>
      <x:c r="W57" s="51"/>
      <x:c r="X57" s="51"/>
      <x:c r="Y57" s="51"/>
      <x:c r="Z57" s="51"/>
    </x:row>
    <x:row r="58" ht="15" hidden="0" customHeight="1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  <x:c r="O58" s="51"/>
      <x:c r="P58" s="51"/>
      <x:c r="Q58" s="51"/>
      <x:c r="R58" s="51"/>
      <x:c r="S58" s="51"/>
      <x:c r="T58" s="51"/>
      <x:c r="U58" s="51"/>
      <x:c r="V58" s="51"/>
      <x:c r="W58" s="51"/>
      <x:c r="X58" s="51"/>
      <x:c r="Y58" s="51"/>
      <x:c r="Z58" s="51"/>
    </x:row>
    <x:row r="59" ht="15" hidden="0" customHeight="1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  <x:c r="O59" s="51"/>
      <x:c r="P59" s="51"/>
      <x:c r="Q59" s="51"/>
      <x:c r="R59" s="51"/>
      <x:c r="S59" s="51"/>
      <x:c r="T59" s="51"/>
      <x:c r="U59" s="51"/>
      <x:c r="V59" s="51"/>
      <x:c r="W59" s="51"/>
      <x:c r="X59" s="51"/>
      <x:c r="Y59" s="51"/>
      <x:c r="Z59" s="51"/>
    </x:row>
    <x:row r="60" ht="15" hidden="0" customHeight="1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  <x:c r="O60" s="51"/>
      <x:c r="P60" s="51"/>
      <x:c r="Q60" s="51"/>
      <x:c r="R60" s="51"/>
      <x:c r="S60" s="51"/>
      <x:c r="T60" s="51"/>
      <x:c r="U60" s="51"/>
      <x:c r="V60" s="51"/>
      <x:c r="W60" s="51"/>
      <x:c r="X60" s="51"/>
      <x:c r="Y60" s="51"/>
      <x:c r="Z60" s="51"/>
    </x:row>
  </x:sheetData>
  <x:pageMargins left="0.7" right="0.7" top="0.75" bottom="0.75" header="0.3" footer="0.3"/>
  <x:tableParts count="1">
    <x:tablePart xmlns:r="http://schemas.openxmlformats.org/officeDocument/2006/relationships" r:id="R85a63c98ce83412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18" hidden="0" customWidth="1"/>
    <x:col min="5" max="5" width="16" hidden="0" customWidth="1"/>
    <x:col min="6" max="6" width="18" hidden="0" customWidth="1"/>
    <x:col min="7" max="7" width="18" hidden="0" customWidth="1"/>
    <x:col min="8" max="8" width="20" hidden="0" customWidth="1"/>
    <x:col min="9" max="9" width="24" hidden="0" customWidth="1"/>
    <x:col min="10" max="10" width="32" hidden="0" customWidth="1"/>
    <x:col min="11" max="11" width="32" hidden="0" customWidth="1"/>
    <x:col min="12" max="12" width="32" hidden="0" customWidth="1"/>
    <x:col min="13" max="13" width="26" hidden="0" customWidth="1"/>
    <x:col min="14" max="14" width="36" hidden="0" customWidth="1"/>
    <x:col min="15" max="15" width="32" hidden="0" customWidth="1"/>
    <x:col min="16" max="16" width="38" hidden="0" customWidth="1"/>
  </x:cols>
  <x:sheetData>
    <x:row r="1" ht="15" hidden="0" customHeight="1">
      <x:c r="A1" s="64" t="str">
        <x:v>Access_ID</x:v>
      </x:c>
      <x:c r="B1" s="64" t="str">
        <x:v>Corpus_ID</x:v>
      </x:c>
      <x:c r="C1" s="64" t="str">
        <x:v>Access_Pathway</x:v>
      </x:c>
      <x:c r="D1" s="64" t="str">
        <x:v>URL_or_Contact</x:v>
      </x:c>
      <x:c r="E1" s="64" t="str">
        <x:v>Access_Date</x:v>
      </x:c>
      <x:c r="F1" s="64" t="str">
        <x:v>Access_Condition</x:v>
      </x:c>
      <x:c r="G1" s="64" t="str">
        <x:v>Redistribution_Status</x:v>
      </x:c>
      <x:c r="H1" s="64" t="str">
        <x:v>Data_to_Deposit_in_GitHub</x:v>
      </x:c>
      <x:c r="I1" s="64" t="str">
        <x:v>Sensitive_or_Legal_Risk</x:v>
      </x:c>
      <x:c r="J1" s="64" t="str">
        <x:v>Mitigation</x:v>
      </x:c>
      <x:c r="K1" s="64" t="str">
        <x:v>Status</x:v>
      </x:c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 ht="15" hidden="0" customHeight="1">
      <x:c r="A2" s="51" t="str">
        <x:v>DA-001</x:v>
      </x:c>
      <x:c r="B2" s="51" t="str">
        <x:v>CR-001</x:v>
      </x:c>
      <x:c r="C2" s="51" t="str">
        <x:v>Public download / institutional archive</x:v>
      </x:c>
      <x:c r="D2" s="51" t="str">
        <x:v>https://www.dmr.gov.za/</x:v>
      </x:c>
      <x:c r="E2" s="68" t="n">
        <x:v>46150</x:v>
      </x:c>
      <x:c r="F2" s="51" t="str">
        <x:v>Open public report</x:v>
      </x:c>
      <x:c r="G2" s="51" t="str">
        <x:v>Link/citation only</x:v>
      </x:c>
      <x:c r="H2" s="51" t="str">
        <x:v>metadata + extracted non-copyright table values</x:v>
      </x:c>
      <x:c r="I2" s="51" t="str">
        <x:v>Low</x:v>
      </x:c>
      <x:c r="J2" s="51" t="str">
        <x:v>Cite source and keep extraction log</x:v>
      </x:c>
      <x:c r="K2" s="51" t="str">
        <x:v>Ready</x:v>
      </x:c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</x:row>
    <x:row r="3" ht="15" hidden="0" customHeight="1">
      <x:c r="A3" s="51" t="str">
        <x:v>DA-002</x:v>
      </x:c>
      <x:c r="B3" s="51" t="str">
        <x:v>CR-002</x:v>
      </x:c>
      <x:c r="C3" s="51" t="str">
        <x:v>Public download</x:v>
      </x:c>
      <x:c r="D3" s="51" t="str">
        <x:v>https://eiti.org/countries/south-africa</x:v>
      </x:c>
      <x:c r="E3" s="68" t="n">
        <x:v>46150</x:v>
      </x:c>
      <x:c r="F3" s="51" t="str">
        <x:v>Open public report</x:v>
      </x:c>
      <x:c r="G3" s="51" t="str">
        <x:v>Link/citation only</x:v>
      </x:c>
      <x:c r="H3" s="51" t="str">
        <x:v>metadata + derived indicator calculations</x:v>
      </x:c>
      <x:c r="I3" s="51" t="str">
        <x:v>Low</x:v>
      </x:c>
      <x:c r="J3" s="51" t="str">
        <x:v>Do not upload full report; upload derived table and URL</x:v>
      </x:c>
      <x:c r="K3" s="51" t="str">
        <x:v>Ready</x:v>
      </x:c>
      <x:c r="L3" s="51"/>
      <x:c r="M3" s="51"/>
      <x:c r="N3" s="51"/>
      <x:c r="O3" s="51"/>
      <x:c r="P3" s="51"/>
      <x:c r="Q3" s="51"/>
      <x:c r="R3" s="51"/>
      <x:c r="S3" s="51"/>
      <x:c r="T3" s="51"/>
      <x:c r="U3" s="51"/>
      <x:c r="V3" s="51"/>
      <x:c r="W3" s="51"/>
      <x:c r="X3" s="51"/>
      <x:c r="Y3" s="51"/>
      <x:c r="Z3" s="51"/>
    </x:row>
    <x:row r="4" ht="15" hidden="0" customHeight="1">
      <x:c r="A4" s="51" t="str">
        <x:v>DA-003</x:v>
      </x:c>
      <x:c r="B4" s="51" t="str">
        <x:v>CR-004</x:v>
      </x:c>
      <x:c r="C4" s="51" t="str">
        <x:v>Public data portal</x:v>
      </x:c>
      <x:c r="D4" s="51" t="str">
        <x:v>https://info.worldbank.org/governance/wgi/</x:v>
      </x:c>
      <x:c r="E4" s="68" t="n">
        <x:v>46150</x:v>
      </x:c>
      <x:c r="F4" s="51" t="str">
        <x:v>Open data portal</x:v>
      </x:c>
      <x:c r="G4" s="51" t="str">
        <x:v>Derived data may be deposited with source note</x:v>
      </x:c>
      <x:c r="H4" s="51" t="str">
        <x:v>WGI extracted values + source URL</x:v>
      </x:c>
      <x:c r="I4" s="51" t="str">
        <x:v>Low</x:v>
      </x:c>
      <x:c r="J4" s="51" t="str">
        <x:v>Record year, indicator, extraction date</x:v>
      </x:c>
      <x:c r="K4" s="51" t="str">
        <x:v>Ready</x:v>
      </x:c>
      <x:c r="L4" s="51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 ht="15" hidden="0" customHeight="1">
      <x:c r="A5" s="51" t="str">
        <x:v>DA-004</x:v>
      </x:c>
      <x:c r="B5" s="51" t="str">
        <x:v>CR-005</x:v>
      </x:c>
      <x:c r="C5" s="51" t="str">
        <x:v>Public download</x:v>
      </x:c>
      <x:c r="D5" s="51" t="str">
        <x:v>https://neiti.gov.ng/</x:v>
      </x:c>
      <x:c r="E5" s="68" t="n">
        <x:v>46150</x:v>
      </x:c>
      <x:c r="F5" s="51" t="str">
        <x:v>Open public report</x:v>
      </x:c>
      <x:c r="G5" s="51" t="str">
        <x:v>Link/citation only</x:v>
      </x:c>
      <x:c r="H5" s="51" t="str">
        <x:v>metadata + derived proxy values</x:v>
      </x:c>
      <x:c r="I5" s="51" t="str">
        <x:v>Low/medium copyright</x:v>
      </x:c>
      <x:c r="J5" s="51" t="str">
        <x:v>Do not upload report PDF unless licence permits; upload extraction sheet</x:v>
      </x:c>
      <x:c r="K5" s="51" t="str">
        <x:v>Ready</x:v>
      </x:c>
      <x:c r="L5" s="51"/>
      <x:c r="M5" s="51"/>
      <x:c r="N5" s="51"/>
      <x:c r="O5" s="51"/>
      <x:c r="P5" s="51"/>
      <x:c r="Q5" s="51"/>
      <x:c r="R5" s="51"/>
      <x:c r="S5" s="51"/>
      <x:c r="T5" s="51"/>
      <x:c r="U5" s="51"/>
      <x:c r="V5" s="51"/>
      <x:c r="W5" s="51"/>
      <x:c r="X5" s="51"/>
      <x:c r="Y5" s="51"/>
      <x:c r="Z5" s="51"/>
    </x:row>
    <x:row r="6" ht="15" hidden="0" customHeight="1">
      <x:c r="A6" s="51" t="str">
        <x:v>DA-005</x:v>
      </x:c>
      <x:c r="B6" s="51" t="str">
        <x:v>CR-006</x:v>
      </x:c>
      <x:c r="C6" s="51" t="str">
        <x:v>Formal institutional request</x:v>
      </x:c>
      <x:c r="D6" s="51" t="str">
        <x:v>Ondo State Ministry of Environment</x:v>
      </x:c>
      <x:c r="E6" s="68"/>
      <x:c r="F6" s="51" t="str">
        <x:v>Government approval required</x:v>
      </x:c>
      <x:c r="G6" s="51" t="str">
        <x:v>Not redistributable without permission</x:v>
      </x:c>
      <x:c r="H6" s="51" t="str">
        <x:v>metadata schema only; synthetic demonstration rows</x:v>
      </x:c>
      <x:c r="I6" s="51" t="str">
        <x:v>Medium confidentiality</x:v>
      </x:c>
      <x:c r="J6" s="51" t="str">
        <x:v>Use anonymised case IDs and aggregate results only</x:v>
      </x:c>
      <x:c r="K6" s="51" t="str">
        <x:v>Pending</x:v>
      </x:c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</x:row>
    <x:row r="7" ht="15" hidden="0" customHeight="1">
      <x:c r="A7" s="51" t="str">
        <x:v>DA-006</x:v>
      </x:c>
      <x:c r="B7" s="51" t="str">
        <x:v>CR-007</x:v>
      </x:c>
      <x:c r="C7" s="51" t="str">
        <x:v>Formal institutional request</x:v>
      </x:c>
      <x:c r="D7" s="51" t="str">
        <x:v>NUPRC</x:v>
      </x:c>
      <x:c r="E7" s="68"/>
      <x:c r="F7" s="51" t="str">
        <x:v>Regulator approval required</x:v>
      </x:c>
      <x:c r="G7" s="51" t="str">
        <x:v>Not redistributable without permission</x:v>
      </x:c>
      <x:c r="H7" s="51" t="str">
        <x:v>metadata schema only; synthetic demonstration rows</x:v>
      </x:c>
      <x:c r="I7" s="51" t="str">
        <x:v>Medium/high confidentiality</x:v>
      </x:c>
      <x:c r="J7" s="51" t="str">
        <x:v>Data-use agreement, de-identification, aggregate publication</x:v>
      </x:c>
      <x:c r="K7" s="51" t="str">
        <x:v>Pending</x:v>
      </x:c>
      <x:c r="L7" s="51"/>
      <x:c r="M7" s="51"/>
      <x:c r="N7" s="51"/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</x:row>
    <x:row r="8" ht="15" hidden="0" customHeight="1">
      <x:c r="A8" s="51" t="str">
        <x:v>DA-007</x:v>
      </x:c>
      <x:c r="B8" s="51" t="str">
        <x:v>CR-008</x:v>
      </x:c>
      <x:c r="C8" s="51" t="str">
        <x:v>Official legal text / law repository</x:v>
      </x:c>
      <x:c r="D8" s="51" t="str">
        <x:v>https://www.lawnigeria.com/</x:v>
      </x:c>
      <x:c r="E8" s="68" t="n">
        <x:v>46150</x:v>
      </x:c>
      <x:c r="F8" s="51" t="str">
        <x:v>Public legal text</x:v>
      </x:c>
      <x:c r="G8" s="51" t="str">
        <x:v>Excerpts only, if permitted</x:v>
      </x:c>
      <x:c r="H8" s="51" t="str">
        <x:v>encoded rule metadata; no long legal excerpts</x:v>
      </x:c>
      <x:c r="I8" s="51" t="str">
        <x:v>Medium copyright/version risk</x:v>
      </x:c>
      <x:c r="J8" s="51" t="str">
        <x:v>Cite official source; validate against gazetted law</x:v>
      </x:c>
      <x:c r="K8" s="51" t="str">
        <x:v>Ready with validation</x:v>
      </x:c>
      <x:c r="L8" s="51"/>
      <x:c r="M8" s="51"/>
      <x:c r="N8" s="51"/>
      <x:c r="O8" s="51"/>
      <x:c r="P8" s="51"/>
      <x:c r="Q8" s="51"/>
      <x:c r="R8" s="51"/>
      <x:c r="S8" s="51"/>
      <x:c r="T8" s="51"/>
      <x:c r="U8" s="51"/>
      <x:c r="V8" s="51"/>
      <x:c r="W8" s="51"/>
      <x:c r="X8" s="51"/>
      <x:c r="Y8" s="51"/>
      <x:c r="Z8" s="51"/>
    </x:row>
    <x:row r="9" ht="15" hidden="0" customHeight="1">
      <x:c r="A9" s="51" t="str">
        <x:v>DA-008</x:v>
      </x:c>
      <x:c r="B9" s="51" t="str">
        <x:v>CR-009</x:v>
      </x:c>
      <x:c r="C9" s="51" t="str">
        <x:v>Official regulator/legal portal</x:v>
      </x:c>
      <x:c r="D9" s="51" t="str">
        <x:v>https://www.nuprc.gov.ng/</x:v>
      </x:c>
      <x:c r="E9" s="68" t="n">
        <x:v>46150</x:v>
      </x:c>
      <x:c r="F9" s="51" t="str">
        <x:v>Public legal text</x:v>
      </x:c>
      <x:c r="G9" s="51" t="str">
        <x:v>Excerpts only, if permitted</x:v>
      </x:c>
      <x:c r="H9" s="51" t="str">
        <x:v>encoded rule metadata; no long legal excerpts</x:v>
      </x:c>
      <x:c r="I9" s="51" t="str">
        <x:v>Medium copyright/version risk</x:v>
      </x:c>
      <x:c r="J9" s="51" t="str">
        <x:v>Cite official source; validate with counsel</x:v>
      </x:c>
      <x:c r="K9" s="51" t="str">
        <x:v>Ready with validation</x:v>
      </x:c>
      <x:c r="L9" s="51"/>
      <x:c r="M9" s="51"/>
      <x:c r="N9" s="51"/>
      <x:c r="O9" s="51"/>
      <x:c r="P9" s="51"/>
      <x:c r="Q9" s="51"/>
      <x:c r="R9" s="51"/>
      <x:c r="S9" s="51"/>
      <x:c r="T9" s="51"/>
      <x:c r="U9" s="51"/>
      <x:c r="V9" s="51"/>
      <x:c r="W9" s="51"/>
      <x:c r="X9" s="51"/>
      <x:c r="Y9" s="51"/>
      <x:c r="Z9" s="51"/>
    </x:row>
    <x:row r="10" ht="15" hidden="0" customHeight="1">
      <x:c r="A10" s="51" t="str">
        <x:v>DA-009</x:v>
      </x:c>
      <x:c r="B10" s="51" t="str">
        <x:v>CR-010</x:v>
      </x:c>
      <x:c r="C10" s="51" t="str">
        <x:v>Public regulator portal</x:v>
      </x:c>
      <x:c r="D10" s="51" t="str">
        <x:v>https://www.aer.ca/</x:v>
      </x:c>
      <x:c r="E10" s="68" t="n">
        <x:v>46150</x:v>
      </x:c>
      <x:c r="F10" s="51" t="str">
        <x:v>Open public records</x:v>
      </x:c>
      <x:c r="G10" s="51" t="str">
        <x:v>Link/citation only</x:v>
      </x:c>
      <x:c r="H10" s="51" t="str">
        <x:v>benchmark metadata and extracted indicators</x:v>
      </x:c>
      <x:c r="I10" s="51" t="str">
        <x:v>Low</x:v>
      </x:c>
      <x:c r="J10" s="51" t="str">
        <x:v>Use public report URLs and extraction notes</x:v>
      </x:c>
      <x:c r="K10" s="51" t="str">
        <x:v>Ready</x:v>
      </x:c>
      <x:c r="L10" s="51"/>
      <x:c r="M10" s="51"/>
      <x:c r="N10" s="51"/>
      <x:c r="O10" s="51"/>
      <x:c r="P10" s="51"/>
      <x:c r="Q10" s="51"/>
      <x:c r="R10" s="51"/>
      <x:c r="S10" s="51"/>
      <x:c r="T10" s="51"/>
      <x:c r="U10" s="51"/>
      <x:c r="V10" s="51"/>
      <x:c r="W10" s="51"/>
      <x:c r="X10" s="51"/>
      <x:c r="Y10" s="51"/>
      <x:c r="Z10" s="51"/>
    </x:row>
    <x:row r="11" ht="15" hidden="0" customHeight="1">
      <x:c r="A11" s="51" t="str">
        <x:v>DA-010</x:v>
      </x:c>
      <x:c r="B11" s="51" t="str">
        <x:v>CR-011</x:v>
      </x:c>
      <x:c r="C11" s="51" t="str">
        <x:v>Public regulator portals</x:v>
      </x:c>
      <x:c r="D11" s="51" t="str">
        <x:v>https://www.blm.gov/; https://ogm.utah.gov/</x:v>
      </x:c>
      <x:c r="E11" s="68" t="n">
        <x:v>46150</x:v>
      </x:c>
      <x:c r="F11" s="51" t="str">
        <x:v>Open public records</x:v>
      </x:c>
      <x:c r="G11" s="51" t="str">
        <x:v>Link/citation only</x:v>
      </x:c>
      <x:c r="H11" s="51" t="str">
        <x:v>indicative benchmark metadata</x:v>
      </x:c>
      <x:c r="I11" s="51" t="str">
        <x:v>Low</x:v>
      </x:c>
      <x:c r="J11" s="51" t="str">
        <x:v>Flag values as indicative</x:v>
      </x:c>
      <x:c r="K11" s="51" t="str">
        <x:v>Ready</x:v>
      </x:c>
      <x:c r="L11" s="51"/>
      <x:c r="M11" s="51"/>
      <x:c r="N11" s="51"/>
      <x:c r="O11" s="51"/>
      <x:c r="P11" s="51"/>
      <x:c r="Q11" s="51"/>
      <x:c r="R11" s="51"/>
      <x:c r="S11" s="51"/>
      <x:c r="T11" s="51"/>
      <x:c r="U11" s="51"/>
      <x:c r="V11" s="51"/>
      <x:c r="W11" s="51"/>
      <x:c r="X11" s="51"/>
      <x:c r="Y11" s="51"/>
      <x:c r="Z11" s="51"/>
    </x:row>
    <x:row r="12" ht="15" hidden="0" customHeight="1">
      <x:c r="A12" s="51" t="str">
        <x:v>DA-011</x:v>
      </x:c>
      <x:c r="B12" s="51" t="str">
        <x:v>CR-012</x:v>
      </x:c>
      <x:c r="C12" s="51" t="str">
        <x:v>Public reports / governance proxies</x:v>
      </x:c>
      <x:c r="D12" s="51" t="str">
        <x:v>Official PDVSA sources and governance data portals where available</x:v>
      </x:c>
      <x:c r="E12" s="68" t="n">
        <x:v>46150</x:v>
      </x:c>
      <x:c r="F12" s="51" t="str">
        <x:v>Partial public availability</x:v>
      </x:c>
      <x:c r="G12" s="51" t="str">
        <x:v>Derived/proxy values only</x:v>
      </x:c>
      <x:c r="H12" s="51" t="str">
        <x:v>structured estimate with uncertainty flag</x:v>
      </x:c>
      <x:c r="I12" s="51" t="str">
        <x:v>Medium transparency risk</x:v>
      </x:c>
      <x:c r="J12" s="51" t="str">
        <x:v>Do not overclaim; label data confidence Tier 2</x:v>
      </x:c>
      <x:c r="K12" s="51" t="str">
        <x:v>Ready with caution</x:v>
      </x:c>
      <x:c r="L12" s="51"/>
      <x:c r="M12" s="51"/>
      <x:c r="N12" s="51"/>
      <x:c r="O12" s="51"/>
      <x:c r="P12" s="51"/>
      <x:c r="Q12" s="51"/>
      <x:c r="R12" s="51"/>
      <x:c r="S12" s="51"/>
      <x:c r="T12" s="51"/>
      <x:c r="U12" s="51"/>
      <x:c r="V12" s="51"/>
      <x:c r="W12" s="51"/>
      <x:c r="X12" s="51"/>
      <x:c r="Y12" s="51"/>
      <x:c r="Z12" s="51"/>
    </x:row>
    <x:row r="13" ht="15" hidden="0" customHeight="1">
      <x:c r="A13" s="51"/>
      <x:c r="B13" s="51"/>
      <x:c r="C13" s="51"/>
      <x:c r="D13" s="51"/>
      <x:c r="E13" s="51"/>
      <x:c r="F13" s="51"/>
      <x:c r="G13" s="51"/>
      <x:c r="H13" s="51"/>
      <x:c r="I13" s="51"/>
      <x:c r="J13" s="51"/>
      <x:c r="K13" s="51"/>
      <x:c r="L13" s="51"/>
      <x:c r="M13" s="51"/>
      <x:c r="N13" s="51"/>
      <x:c r="O13" s="51"/>
      <x:c r="P13" s="51"/>
      <x:c r="Q13" s="51"/>
      <x:c r="R13" s="51"/>
      <x:c r="S13" s="51"/>
      <x:c r="T13" s="51"/>
      <x:c r="U13" s="51"/>
      <x:c r="V13" s="51"/>
      <x:c r="W13" s="51"/>
      <x:c r="X13" s="51"/>
      <x:c r="Y13" s="51"/>
      <x:c r="Z13" s="51"/>
    </x:row>
    <x:row r="14" ht="15" hidden="0" customHeight="1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  <x:c r="O14" s="51"/>
      <x:c r="P14" s="51"/>
      <x:c r="Q14" s="51"/>
      <x:c r="R14" s="51"/>
      <x:c r="S14" s="51"/>
      <x:c r="T14" s="51"/>
      <x:c r="U14" s="51"/>
      <x:c r="V14" s="51"/>
      <x:c r="W14" s="51"/>
      <x:c r="X14" s="51"/>
      <x:c r="Y14" s="51"/>
      <x:c r="Z14" s="51"/>
    </x:row>
    <x:row r="15" ht="15" hidden="0" customHeight="1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  <x:c r="P15" s="51"/>
      <x:c r="Q15" s="51"/>
      <x:c r="R15" s="51"/>
      <x:c r="S15" s="51"/>
      <x:c r="T15" s="51"/>
      <x:c r="U15" s="51"/>
      <x:c r="V15" s="51"/>
      <x:c r="W15" s="51"/>
      <x:c r="X15" s="51"/>
      <x:c r="Y15" s="51"/>
      <x:c r="Z15" s="51"/>
    </x:row>
    <x:row r="16" ht="15" hidden="0" customHeight="1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  <x:c r="O16" s="51"/>
      <x:c r="P16" s="51"/>
      <x:c r="Q16" s="51"/>
      <x:c r="R16" s="51"/>
      <x:c r="S16" s="51"/>
      <x:c r="T16" s="51"/>
      <x:c r="U16" s="51"/>
      <x:c r="V16" s="51"/>
      <x:c r="W16" s="51"/>
      <x:c r="X16" s="51"/>
      <x:c r="Y16" s="51"/>
      <x:c r="Z16" s="51"/>
    </x:row>
    <x:row r="17" ht="15" hidden="0" customHeight="1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  <x:c r="O17" s="51"/>
      <x:c r="P17" s="51"/>
      <x:c r="Q17" s="51"/>
      <x:c r="R17" s="51"/>
      <x:c r="S17" s="51"/>
      <x:c r="T17" s="51"/>
      <x:c r="U17" s="51"/>
      <x:c r="V17" s="51"/>
      <x:c r="W17" s="51"/>
      <x:c r="X17" s="51"/>
      <x:c r="Y17" s="51"/>
      <x:c r="Z17" s="51"/>
    </x:row>
    <x:row r="18" ht="15" hidden="0" customHeight="1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  <x:c r="O18" s="51"/>
      <x:c r="P18" s="51"/>
      <x:c r="Q18" s="51"/>
      <x:c r="R18" s="51"/>
      <x:c r="S18" s="51"/>
      <x:c r="T18" s="51"/>
      <x:c r="U18" s="51"/>
      <x:c r="V18" s="51"/>
      <x:c r="W18" s="51"/>
      <x:c r="X18" s="51"/>
      <x:c r="Y18" s="51"/>
      <x:c r="Z18" s="51"/>
    </x:row>
    <x:row r="19" ht="15" hidden="0" customHeight="1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  <x:c r="O19" s="51"/>
      <x:c r="P19" s="51"/>
      <x:c r="Q19" s="51"/>
      <x:c r="R19" s="51"/>
      <x:c r="S19" s="51"/>
      <x:c r="T19" s="51"/>
      <x:c r="U19" s="51"/>
      <x:c r="V19" s="51"/>
      <x:c r="W19" s="51"/>
      <x:c r="X19" s="51"/>
      <x:c r="Y19" s="51"/>
      <x:c r="Z19" s="51"/>
    </x:row>
    <x:row r="20" ht="15" hidden="0" customHeight="1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  <x:c r="P20" s="51"/>
      <x:c r="Q20" s="51"/>
      <x:c r="R20" s="51"/>
      <x:c r="S20" s="51"/>
      <x:c r="T20" s="51"/>
      <x:c r="U20" s="51"/>
      <x:c r="V20" s="51"/>
      <x:c r="W20" s="51"/>
      <x:c r="X20" s="51"/>
      <x:c r="Y20" s="51"/>
      <x:c r="Z20" s="51"/>
    </x:row>
    <x:row r="21" ht="15" hidden="0" customHeight="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  <x:c r="P21" s="51"/>
      <x:c r="Q21" s="51"/>
      <x:c r="R21" s="51"/>
      <x:c r="S21" s="51"/>
      <x:c r="T21" s="51"/>
      <x:c r="U21" s="51"/>
      <x:c r="V21" s="51"/>
      <x:c r="W21" s="51"/>
      <x:c r="X21" s="51"/>
      <x:c r="Y21" s="51"/>
      <x:c r="Z21" s="51"/>
    </x:row>
    <x:row r="22" ht="15" hidden="0" customHeight="1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  <x:c r="P22" s="51"/>
      <x:c r="Q22" s="51"/>
      <x:c r="R22" s="51"/>
      <x:c r="S22" s="51"/>
      <x:c r="T22" s="51"/>
      <x:c r="U22" s="51"/>
      <x:c r="V22" s="51"/>
      <x:c r="W22" s="51"/>
      <x:c r="X22" s="51"/>
      <x:c r="Y22" s="51"/>
      <x:c r="Z22" s="51"/>
    </x:row>
    <x:row r="23" ht="15" hidden="0" customHeight="1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  <x:c r="P23" s="51"/>
      <x:c r="Q23" s="51"/>
      <x:c r="R23" s="51"/>
      <x:c r="S23" s="51"/>
      <x:c r="T23" s="51"/>
      <x:c r="U23" s="51"/>
      <x:c r="V23" s="51"/>
      <x:c r="W23" s="51"/>
      <x:c r="X23" s="51"/>
      <x:c r="Y23" s="51"/>
      <x:c r="Z23" s="51"/>
    </x:row>
    <x:row r="24" ht="15" hidden="0" customHeight="1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  <x:c r="P24" s="51"/>
      <x:c r="Q24" s="51"/>
      <x:c r="R24" s="51"/>
      <x:c r="S24" s="51"/>
      <x:c r="T24" s="51"/>
      <x:c r="U24" s="51"/>
      <x:c r="V24" s="51"/>
      <x:c r="W24" s="51"/>
      <x:c r="X24" s="51"/>
      <x:c r="Y24" s="51"/>
      <x:c r="Z24" s="51"/>
    </x:row>
    <x:row r="25" ht="15" hidden="0" customHeight="1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  <x:c r="P25" s="51"/>
      <x:c r="Q25" s="51"/>
      <x:c r="R25" s="51"/>
      <x:c r="S25" s="51"/>
      <x:c r="T25" s="51"/>
      <x:c r="U25" s="51"/>
      <x:c r="V25" s="51"/>
      <x:c r="W25" s="51"/>
      <x:c r="X25" s="51"/>
      <x:c r="Y25" s="51"/>
      <x:c r="Z25" s="51"/>
    </x:row>
    <x:row r="26" ht="15" hidden="0" customHeight="1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  <x:c r="P26" s="51"/>
      <x:c r="Q26" s="51"/>
      <x:c r="R26" s="51"/>
      <x:c r="S26" s="51"/>
      <x:c r="T26" s="51"/>
      <x:c r="U26" s="51"/>
      <x:c r="V26" s="51"/>
      <x:c r="W26" s="51"/>
      <x:c r="X26" s="51"/>
      <x:c r="Y26" s="51"/>
      <x:c r="Z26" s="51"/>
    </x:row>
    <x:row r="27" ht="15" hidden="0" customHeight="1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  <x:c r="P27" s="51"/>
      <x:c r="Q27" s="51"/>
      <x:c r="R27" s="51"/>
      <x:c r="S27" s="51"/>
      <x:c r="T27" s="51"/>
      <x:c r="U27" s="51"/>
      <x:c r="V27" s="51"/>
      <x:c r="W27" s="51"/>
      <x:c r="X27" s="51"/>
      <x:c r="Y27" s="51"/>
      <x:c r="Z27" s="51"/>
    </x:row>
    <x:row r="28" ht="15" hidden="0" customHeight="1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  <x:c r="P28" s="51"/>
      <x:c r="Q28" s="51"/>
      <x:c r="R28" s="51"/>
      <x:c r="S28" s="51"/>
      <x:c r="T28" s="51"/>
      <x:c r="U28" s="51"/>
      <x:c r="V28" s="51"/>
      <x:c r="W28" s="51"/>
      <x:c r="X28" s="51"/>
      <x:c r="Y28" s="51"/>
      <x:c r="Z28" s="51"/>
    </x:row>
    <x:row r="29" ht="15" hidden="0" customHeight="1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  <x:c r="P29" s="51"/>
      <x:c r="Q29" s="51"/>
      <x:c r="R29" s="51"/>
      <x:c r="S29" s="51"/>
      <x:c r="T29" s="51"/>
      <x:c r="U29" s="51"/>
      <x:c r="V29" s="51"/>
      <x:c r="W29" s="51"/>
      <x:c r="X29" s="51"/>
      <x:c r="Y29" s="51"/>
      <x:c r="Z29" s="51"/>
    </x:row>
    <x:row r="30" ht="15" hidden="0" customHeight="1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  <x:c r="P30" s="51"/>
      <x:c r="Q30" s="51"/>
      <x:c r="R30" s="51"/>
      <x:c r="S30" s="51"/>
      <x:c r="T30" s="51"/>
      <x:c r="U30" s="51"/>
      <x:c r="V30" s="51"/>
      <x:c r="W30" s="51"/>
      <x:c r="X30" s="51"/>
      <x:c r="Y30" s="51"/>
      <x:c r="Z30" s="51"/>
    </x:row>
    <x:row r="31" ht="15" hidden="0" customHeight="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  <x:c r="P31" s="51"/>
      <x:c r="Q31" s="51"/>
      <x:c r="R31" s="51"/>
      <x:c r="S31" s="51"/>
      <x:c r="T31" s="51"/>
      <x:c r="U31" s="51"/>
      <x:c r="V31" s="51"/>
      <x:c r="W31" s="51"/>
      <x:c r="X31" s="51"/>
      <x:c r="Y31" s="51"/>
      <x:c r="Z31" s="51"/>
    </x:row>
    <x:row r="32" ht="15" hidden="0" customHeight="1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  <x:c r="P32" s="51"/>
      <x:c r="Q32" s="51"/>
      <x:c r="R32" s="51"/>
      <x:c r="S32" s="51"/>
      <x:c r="T32" s="51"/>
      <x:c r="U32" s="51"/>
      <x:c r="V32" s="51"/>
      <x:c r="W32" s="51"/>
      <x:c r="X32" s="51"/>
      <x:c r="Y32" s="51"/>
      <x:c r="Z32" s="51"/>
    </x:row>
    <x:row r="33" ht="15" hidden="0" customHeight="1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  <x:c r="P33" s="51"/>
      <x:c r="Q33" s="51"/>
      <x:c r="R33" s="51"/>
      <x:c r="S33" s="51"/>
      <x:c r="T33" s="51"/>
      <x:c r="U33" s="51"/>
      <x:c r="V33" s="51"/>
      <x:c r="W33" s="51"/>
      <x:c r="X33" s="51"/>
      <x:c r="Y33" s="51"/>
      <x:c r="Z33" s="51"/>
    </x:row>
    <x:row r="34" ht="15" hidden="0" customHeight="1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  <x:c r="P34" s="51"/>
      <x:c r="Q34" s="51"/>
      <x:c r="R34" s="51"/>
      <x:c r="S34" s="51"/>
      <x:c r="T34" s="51"/>
      <x:c r="U34" s="51"/>
      <x:c r="V34" s="51"/>
      <x:c r="W34" s="51"/>
      <x:c r="X34" s="51"/>
      <x:c r="Y34" s="51"/>
      <x:c r="Z34" s="51"/>
    </x:row>
    <x:row r="35" ht="15" hidden="0" customHeight="1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  <x:c r="P35" s="51"/>
      <x:c r="Q35" s="51"/>
      <x:c r="R35" s="51"/>
      <x:c r="S35" s="51"/>
      <x:c r="T35" s="51"/>
      <x:c r="U35" s="51"/>
      <x:c r="V35" s="51"/>
      <x:c r="W35" s="51"/>
      <x:c r="X35" s="51"/>
      <x:c r="Y35" s="51"/>
      <x:c r="Z35" s="51"/>
    </x:row>
    <x:row r="36" ht="15" hidden="0" customHeight="1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  <x:c r="P36" s="51"/>
      <x:c r="Q36" s="51"/>
      <x:c r="R36" s="51"/>
      <x:c r="S36" s="51"/>
      <x:c r="T36" s="51"/>
      <x:c r="U36" s="51"/>
      <x:c r="V36" s="51"/>
      <x:c r="W36" s="51"/>
      <x:c r="X36" s="51"/>
      <x:c r="Y36" s="51"/>
      <x:c r="Z36" s="51"/>
    </x:row>
    <x:row r="37" ht="15" hidden="0" customHeight="1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  <x:c r="P37" s="51"/>
      <x:c r="Q37" s="51"/>
      <x:c r="R37" s="51"/>
      <x:c r="S37" s="51"/>
      <x:c r="T37" s="51"/>
      <x:c r="U37" s="51"/>
      <x:c r="V37" s="51"/>
      <x:c r="W37" s="51"/>
      <x:c r="X37" s="51"/>
      <x:c r="Y37" s="51"/>
      <x:c r="Z37" s="51"/>
    </x:row>
    <x:row r="38" ht="15" hidden="0" customHeight="1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  <x:c r="P38" s="51"/>
      <x:c r="Q38" s="51"/>
      <x:c r="R38" s="51"/>
      <x:c r="S38" s="51"/>
      <x:c r="T38" s="51"/>
      <x:c r="U38" s="51"/>
      <x:c r="V38" s="51"/>
      <x:c r="W38" s="51"/>
      <x:c r="X38" s="51"/>
      <x:c r="Y38" s="51"/>
      <x:c r="Z38" s="51"/>
    </x:row>
    <x:row r="39" ht="15" hidden="0" customHeight="1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  <x:c r="P39" s="51"/>
      <x:c r="Q39" s="51"/>
      <x:c r="R39" s="51"/>
      <x:c r="S39" s="51"/>
      <x:c r="T39" s="51"/>
      <x:c r="U39" s="51"/>
      <x:c r="V39" s="51"/>
      <x:c r="W39" s="51"/>
      <x:c r="X39" s="51"/>
      <x:c r="Y39" s="51"/>
      <x:c r="Z39" s="51"/>
    </x:row>
    <x:row r="40" ht="15" hidden="0" customHeight="1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  <x:c r="P40" s="51"/>
      <x:c r="Q40" s="51"/>
      <x:c r="R40" s="51"/>
      <x:c r="S40" s="51"/>
      <x:c r="T40" s="51"/>
      <x:c r="U40" s="51"/>
      <x:c r="V40" s="51"/>
      <x:c r="W40" s="51"/>
      <x:c r="X40" s="51"/>
      <x:c r="Y40" s="51"/>
      <x:c r="Z40" s="51"/>
    </x:row>
    <x:row r="41" ht="15" hidden="0" customHeight="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  <x:c r="P41" s="51"/>
      <x:c r="Q41" s="51"/>
      <x:c r="R41" s="51"/>
      <x:c r="S41" s="51"/>
      <x:c r="T41" s="51"/>
      <x:c r="U41" s="51"/>
      <x:c r="V41" s="51"/>
      <x:c r="W41" s="51"/>
      <x:c r="X41" s="51"/>
      <x:c r="Y41" s="51"/>
      <x:c r="Z41" s="51"/>
    </x:row>
    <x:row r="42" ht="15" hidden="0" customHeight="1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  <x:c r="P42" s="51"/>
      <x:c r="Q42" s="51"/>
      <x:c r="R42" s="51"/>
      <x:c r="S42" s="51"/>
      <x:c r="T42" s="51"/>
      <x:c r="U42" s="51"/>
      <x:c r="V42" s="51"/>
      <x:c r="W42" s="51"/>
      <x:c r="X42" s="51"/>
      <x:c r="Y42" s="51"/>
      <x:c r="Z42" s="51"/>
    </x:row>
    <x:row r="43" ht="15" hidden="0" customHeight="1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  <x:c r="P43" s="51"/>
      <x:c r="Q43" s="51"/>
      <x:c r="R43" s="51"/>
      <x:c r="S43" s="51"/>
      <x:c r="T43" s="51"/>
      <x:c r="U43" s="51"/>
      <x:c r="V43" s="51"/>
      <x:c r="W43" s="51"/>
      <x:c r="X43" s="51"/>
      <x:c r="Y43" s="51"/>
      <x:c r="Z43" s="51"/>
    </x:row>
    <x:row r="44" ht="15" hidden="0" customHeight="1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  <x:c r="P44" s="51"/>
      <x:c r="Q44" s="51"/>
      <x:c r="R44" s="51"/>
      <x:c r="S44" s="51"/>
      <x:c r="T44" s="51"/>
      <x:c r="U44" s="51"/>
      <x:c r="V44" s="51"/>
      <x:c r="W44" s="51"/>
      <x:c r="X44" s="51"/>
      <x:c r="Y44" s="51"/>
      <x:c r="Z44" s="51"/>
    </x:row>
    <x:row r="45" ht="15" hidden="0" customHeight="1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  <x:c r="P45" s="51"/>
      <x:c r="Q45" s="51"/>
      <x:c r="R45" s="51"/>
      <x:c r="S45" s="51"/>
      <x:c r="T45" s="51"/>
      <x:c r="U45" s="51"/>
      <x:c r="V45" s="51"/>
      <x:c r="W45" s="51"/>
      <x:c r="X45" s="51"/>
      <x:c r="Y45" s="51"/>
      <x:c r="Z45" s="51"/>
    </x:row>
    <x:row r="46" ht="15" hidden="0" customHeight="1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  <x:c r="P46" s="51"/>
      <x:c r="Q46" s="51"/>
      <x:c r="R46" s="51"/>
      <x:c r="S46" s="51"/>
      <x:c r="T46" s="51"/>
      <x:c r="U46" s="51"/>
      <x:c r="V46" s="51"/>
      <x:c r="W46" s="51"/>
      <x:c r="X46" s="51"/>
      <x:c r="Y46" s="51"/>
      <x:c r="Z46" s="51"/>
    </x:row>
    <x:row r="47" ht="15" hidden="0" customHeight="1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  <x:c r="P47" s="51"/>
      <x:c r="Q47" s="51"/>
      <x:c r="R47" s="51"/>
      <x:c r="S47" s="51"/>
      <x:c r="T47" s="51"/>
      <x:c r="U47" s="51"/>
      <x:c r="V47" s="51"/>
      <x:c r="W47" s="51"/>
      <x:c r="X47" s="51"/>
      <x:c r="Y47" s="51"/>
      <x:c r="Z47" s="51"/>
    </x:row>
    <x:row r="48" ht="15" hidden="0" customHeight="1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  <x:c r="P48" s="51"/>
      <x:c r="Q48" s="51"/>
      <x:c r="R48" s="51"/>
      <x:c r="S48" s="51"/>
      <x:c r="T48" s="51"/>
      <x:c r="U48" s="51"/>
      <x:c r="V48" s="51"/>
      <x:c r="W48" s="51"/>
      <x:c r="X48" s="51"/>
      <x:c r="Y48" s="51"/>
      <x:c r="Z48" s="51"/>
    </x:row>
    <x:row r="49" ht="15" hidden="0" customHeight="1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  <x:c r="P49" s="51"/>
      <x:c r="Q49" s="51"/>
      <x:c r="R49" s="51"/>
      <x:c r="S49" s="51"/>
      <x:c r="T49" s="51"/>
      <x:c r="U49" s="51"/>
      <x:c r="V49" s="51"/>
      <x:c r="W49" s="51"/>
      <x:c r="X49" s="51"/>
      <x:c r="Y49" s="51"/>
      <x:c r="Z49" s="51"/>
    </x:row>
    <x:row r="50" ht="15" hidden="0" customHeight="1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  <x:c r="P50" s="51"/>
      <x:c r="Q50" s="51"/>
      <x:c r="R50" s="51"/>
      <x:c r="S50" s="51"/>
      <x:c r="T50" s="51"/>
      <x:c r="U50" s="51"/>
      <x:c r="V50" s="51"/>
      <x:c r="W50" s="51"/>
      <x:c r="X50" s="51"/>
      <x:c r="Y50" s="51"/>
      <x:c r="Z50" s="51"/>
    </x:row>
    <x:row r="51" ht="15" hidden="0" customHeight="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  <x:c r="O51" s="51"/>
      <x:c r="P51" s="51"/>
      <x:c r="Q51" s="51"/>
      <x:c r="R51" s="51"/>
      <x:c r="S51" s="51"/>
      <x:c r="T51" s="51"/>
      <x:c r="U51" s="51"/>
      <x:c r="V51" s="51"/>
      <x:c r="W51" s="51"/>
      <x:c r="X51" s="51"/>
      <x:c r="Y51" s="51"/>
      <x:c r="Z51" s="51"/>
    </x:row>
    <x:row r="52" ht="15" hidden="0" customHeight="1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  <x:c r="N52" s="51"/>
      <x:c r="O52" s="51"/>
      <x:c r="P52" s="51"/>
      <x:c r="Q52" s="51"/>
      <x:c r="R52" s="51"/>
      <x:c r="S52" s="51"/>
      <x:c r="T52" s="51"/>
      <x:c r="U52" s="51"/>
      <x:c r="V52" s="51"/>
      <x:c r="W52" s="51"/>
      <x:c r="X52" s="51"/>
      <x:c r="Y52" s="51"/>
      <x:c r="Z52" s="51"/>
    </x:row>
    <x:row r="53" ht="15" hidden="0" customHeight="1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  <x:c r="N53" s="51"/>
      <x:c r="O53" s="51"/>
      <x:c r="P53" s="51"/>
      <x:c r="Q53" s="51"/>
      <x:c r="R53" s="51"/>
      <x:c r="S53" s="51"/>
      <x:c r="T53" s="51"/>
      <x:c r="U53" s="51"/>
      <x:c r="V53" s="51"/>
      <x:c r="W53" s="51"/>
      <x:c r="X53" s="51"/>
      <x:c r="Y53" s="51"/>
      <x:c r="Z53" s="51"/>
    </x:row>
    <x:row r="54" ht="15" hidden="0" customHeight="1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  <x:c r="O54" s="51"/>
      <x:c r="P54" s="51"/>
      <x:c r="Q54" s="51"/>
      <x:c r="R54" s="51"/>
      <x:c r="S54" s="51"/>
      <x:c r="T54" s="51"/>
      <x:c r="U54" s="51"/>
      <x:c r="V54" s="51"/>
      <x:c r="W54" s="51"/>
      <x:c r="X54" s="51"/>
      <x:c r="Y54" s="51"/>
      <x:c r="Z54" s="51"/>
    </x:row>
    <x:row r="55" ht="15" hidden="0" customHeight="1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  <x:c r="O55" s="51"/>
      <x:c r="P55" s="51"/>
      <x:c r="Q55" s="51"/>
      <x:c r="R55" s="51"/>
      <x:c r="S55" s="51"/>
      <x:c r="T55" s="51"/>
      <x:c r="U55" s="51"/>
      <x:c r="V55" s="51"/>
      <x:c r="W55" s="51"/>
      <x:c r="X55" s="51"/>
      <x:c r="Y55" s="51"/>
      <x:c r="Z55" s="51"/>
    </x:row>
    <x:row r="56" ht="15" hidden="0" customHeight="1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  <x:c r="O56" s="51"/>
      <x:c r="P56" s="51"/>
      <x:c r="Q56" s="51"/>
      <x:c r="R56" s="51"/>
      <x:c r="S56" s="51"/>
      <x:c r="T56" s="51"/>
      <x:c r="U56" s="51"/>
      <x:c r="V56" s="51"/>
      <x:c r="W56" s="51"/>
      <x:c r="X56" s="51"/>
      <x:c r="Y56" s="51"/>
      <x:c r="Z56" s="51"/>
    </x:row>
    <x:row r="57" ht="15" hidden="0" customHeight="1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  <x:c r="O57" s="51"/>
      <x:c r="P57" s="51"/>
      <x:c r="Q57" s="51"/>
      <x:c r="R57" s="51"/>
      <x:c r="S57" s="51"/>
      <x:c r="T57" s="51"/>
      <x:c r="U57" s="51"/>
      <x:c r="V57" s="51"/>
      <x:c r="W57" s="51"/>
      <x:c r="X57" s="51"/>
      <x:c r="Y57" s="51"/>
      <x:c r="Z57" s="51"/>
    </x:row>
    <x:row r="58" ht="15" hidden="0" customHeight="1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  <x:c r="O58" s="51"/>
      <x:c r="P58" s="51"/>
      <x:c r="Q58" s="51"/>
      <x:c r="R58" s="51"/>
      <x:c r="S58" s="51"/>
      <x:c r="T58" s="51"/>
      <x:c r="U58" s="51"/>
      <x:c r="V58" s="51"/>
      <x:c r="W58" s="51"/>
      <x:c r="X58" s="51"/>
      <x:c r="Y58" s="51"/>
      <x:c r="Z58" s="51"/>
    </x:row>
    <x:row r="59" ht="15" hidden="0" customHeight="1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  <x:c r="O59" s="51"/>
      <x:c r="P59" s="51"/>
      <x:c r="Q59" s="51"/>
      <x:c r="R59" s="51"/>
      <x:c r="S59" s="51"/>
      <x:c r="T59" s="51"/>
      <x:c r="U59" s="51"/>
      <x:c r="V59" s="51"/>
      <x:c r="W59" s="51"/>
      <x:c r="X59" s="51"/>
      <x:c r="Y59" s="51"/>
      <x:c r="Z59" s="51"/>
    </x:row>
    <x:row r="60" ht="15" hidden="0" customHeight="1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  <x:c r="O60" s="51"/>
      <x:c r="P60" s="51"/>
      <x:c r="Q60" s="51"/>
      <x:c r="R60" s="51"/>
      <x:c r="S60" s="51"/>
      <x:c r="T60" s="51"/>
      <x:c r="U60" s="51"/>
      <x:c r="V60" s="51"/>
      <x:c r="W60" s="51"/>
      <x:c r="X60" s="51"/>
      <x:c r="Y60" s="51"/>
      <x:c r="Z60" s="51"/>
    </x:row>
  </x:sheetData>
  <x:conditionalFormatting sqref="K2:K12">
    <x:cfRule type="expression" dxfId="2" priority="1">
      <x:formula>$K2="Pending"</x:formula>
    </x:cfRule>
    <x:cfRule type="expression" dxfId="3" priority="2">
      <x:formula>LEFT($K2,5)="Ready"</x:formula>
    </x:cfRule>
  </x:conditionalFormatting>
  <x:dataValidations count="1">
    <x:dataValidation type="list" sqref="K2:K200">
      <x:formula1>"Ready,Ready with validation,Ready with caution,Pending,Blocked"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ed06dacd804a5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18" hidden="0" customWidth="1"/>
    <x:col min="5" max="5" width="16" hidden="0" customWidth="1"/>
    <x:col min="6" max="6" width="18" hidden="0" customWidth="1"/>
    <x:col min="7" max="7" width="18" hidden="0" customWidth="1"/>
    <x:col min="8" max="8" width="20" hidden="0" customWidth="1"/>
    <x:col min="9" max="9" width="24" hidden="0" customWidth="1"/>
    <x:col min="10" max="10" width="32" hidden="0" customWidth="1"/>
    <x:col min="11" max="11" width="32" hidden="0" customWidth="1"/>
    <x:col min="12" max="12" width="32" hidden="0" customWidth="1"/>
    <x:col min="13" max="13" width="26" hidden="0" customWidth="1"/>
    <x:col min="14" max="14" width="36" hidden="0" customWidth="1"/>
    <x:col min="15" max="15" width="32" hidden="0" customWidth="1"/>
    <x:col min="16" max="16" width="38" hidden="0" customWidth="1"/>
  </x:cols>
  <x:sheetData>
    <x:row r="1" ht="15" hidden="0" customHeight="1">
      <x:c r="A1" s="64" t="str">
        <x:v>Case_ID</x:v>
      </x:c>
      <x:c r="B1" s="64" t="str">
        <x:v>System</x:v>
      </x:c>
      <x:c r="C1" s="64" t="str">
        <x:v>Jurisdiction</x:v>
      </x:c>
      <x:c r="D1" s="64" t="str">
        <x:v>Scenario</x:v>
      </x:c>
      <x:c r="E1" s="64" t="str">
        <x:v>RLI_days</x:v>
      </x:c>
      <x:c r="F1" s="64" t="str">
        <x:v>RLI_norm</x:v>
      </x:c>
      <x:c r="G1" s="64" t="str">
        <x:v>CDR</x:v>
      </x:c>
      <x:c r="H1" s="64" t="str">
        <x:v>RLR_raw</x:v>
      </x:c>
      <x:c r="I1" s="64" t="str">
        <x:v>RLR_norm</x:v>
      </x:c>
      <x:c r="J1" s="64" t="str">
        <x:v>RCS</x:v>
      </x:c>
      <x:c r="K1" s="64" t="str">
        <x:v>AAI</x:v>
      </x:c>
      <x:c r="L1" s="64" t="str">
        <x:v>G_equal_weight</x:v>
      </x:c>
      <x:c r="M1" s="64" t="str">
        <x:v>G_geometric</x:v>
      </x:c>
      <x:c r="N1" s="64" t="str">
        <x:v>Data_Confidence</x:v>
      </x:c>
      <x:c r="O1" s="64" t="str">
        <x:v>Source_Basis</x:v>
      </x:c>
      <x:c r="P1" s="64" t="str">
        <x:v>Uncertainty_Range_or_Note</x:v>
      </x:c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 ht="15" hidden="0" customHeight="1">
      <x:c r="A2" s="51" t="str">
        <x:v>M-001</x:v>
      </x:c>
      <x:c r="B2" s="51" t="str">
        <x:v>South Africa mining regulatory system</x:v>
      </x:c>
      <x:c r="C2" s="51" t="str">
        <x:v>South Africa</x:v>
      </x:c>
      <x:c r="D2" s="51" t="str">
        <x:v>Baseline</x:v>
      </x:c>
      <x:c r="E2" s="51" t="n">
        <x:v>187</x:v>
      </x:c>
      <x:c r="F2" s="74" t="n">
        <x:f>1-MIN(E2/365,1)</x:f>
        <x:v>0.4876712328767123</x:v>
      </x:c>
      <x:c r="G2" s="74" t="n">
        <x:v>0.31</x:v>
      </x:c>
      <x:c r="H2" s="74" t="n">
        <x:v>0.31</x:v>
      </x:c>
      <x:c r="I2" s="74" t="n">
        <x:f>1-MIN(H2,1)</x:f>
        <x:v>0.69</x:v>
      </x:c>
      <x:c r="J2" s="74" t="n">
        <x:v>0.48</x:v>
      </x:c>
      <x:c r="K2" s="74" t="n">
        <x:v>0.22</x:v>
      </x:c>
      <x:c r="L2" s="74" t="n">
        <x:f>AVERAGE(F2,G2,I2,J2,K2)</x:f>
        <x:v>0.4375342465753425</x:v>
      </x:c>
      <x:c r="M2" s="74" t="n">
        <x:f>PRODUCT(F2,G2,I2,J2,K2)^(1/5)</x:f>
        <x:v>0.40588253870308816</x:v>
      </x:c>
      <x:c r="N2" s="51" t="str">
        <x:v>Measured/proxy mix</x:v>
      </x:c>
      <x:c r="O2" s="51" t="str">
        <x:v>DMRE Annual Report; EITI SA; AfDB; WGI</x:v>
      </x:c>
      <x:c r="P2" s="51" t="str">
        <x:v>RLI, CDR, RLR, RCS, AAI partly proxy-based; Stage 2 calibration required.</x:v>
      </x:c>
      <x:c r="Q2" s="51"/>
      <x:c r="R2" s="51"/>
      <x:c r="S2" s="51"/>
      <x:c r="T2" s="51"/>
      <x:c r="U2" s="51"/>
      <x:c r="V2" s="51"/>
      <x:c r="W2" s="51"/>
      <x:c r="X2" s="51"/>
      <x:c r="Y2" s="51"/>
      <x:c r="Z2" s="51"/>
    </x:row>
    <x:row r="3" ht="15" hidden="0" customHeight="1">
      <x:c r="A3" s="51" t="str">
        <x:v>M-002</x:v>
      </x:c>
      <x:c r="B3" s="51" t="str">
        <x:v>South Africa mining regulatory system</x:v>
      </x:c>
      <x:c r="C3" s="51" t="str">
        <x:v>South Africa</x:v>
      </x:c>
      <x:c r="D3" s="51" t="str">
        <x:v>Post-AIMRA projection</x:v>
      </x:c>
      <x:c r="E3" s="51" t="n">
        <x:v>52</x:v>
      </x:c>
      <x:c r="F3" s="74" t="n">
        <x:f>1-MIN(E3/365,1)</x:f>
        <x:v>0.8575342465753425</x:v>
      </x:c>
      <x:c r="G3" s="74" t="n">
        <x:v>0.68</x:v>
      </x:c>
      <x:c r="H3" s="74" t="n">
        <x:v>0.09</x:v>
      </x:c>
      <x:c r="I3" s="74" t="n">
        <x:f>1-MIN(H3,1)</x:f>
        <x:v>0.91</x:v>
      </x:c>
      <x:c r="J3" s="74" t="n">
        <x:v>0.81</x:v>
      </x:c>
      <x:c r="K3" s="74" t="n">
        <x:v>0.79</x:v>
      </x:c>
      <x:c r="L3" s="74" t="n">
        <x:f>AVERAGE(F3,G3,I3,J3,K3)</x:f>
        <x:v>0.8095068493150684</x:v>
      </x:c>
      <x:c r="M3" s="74" t="n">
        <x:f>PRODUCT(F3,G3,I3,J3,K3)^(1/5)</x:f>
        <x:v>0.8057174649989427</x:v>
      </x:c>
      <x:c r="N3" s="51" t="str">
        <x:v>Projection</x:v>
      </x:c>
      <x:c r="O3" s="51" t="str">
        <x:v>Cross-sector RegTech analogue and accountability design targets</x:v>
      </x:c>
      <x:c r="P3" s="51" t="str">
        <x:v>Projection; not field-validated.</x:v>
      </x:c>
      <x:c r="Q3" s="51"/>
      <x:c r="R3" s="51"/>
      <x:c r="S3" s="51"/>
      <x:c r="T3" s="51"/>
      <x:c r="U3" s="51"/>
      <x:c r="V3" s="51"/>
      <x:c r="W3" s="51"/>
      <x:c r="X3" s="51"/>
      <x:c r="Y3" s="51"/>
      <x:c r="Z3" s="51"/>
    </x:row>
    <x:row r="4" ht="15" hidden="0" customHeight="1">
      <x:c r="A4" s="51" t="str">
        <x:v>M-003</x:v>
      </x:c>
      <x:c r="B4" s="51" t="str">
        <x:v>Agbabu tar sands</x:v>
      </x:c>
      <x:c r="C4" s="51" t="str">
        <x:v>Nigeria</x:v>
      </x:c>
      <x:c r="D4" s="51" t="str">
        <x:v>Baseline</x:v>
      </x:c>
      <x:c r="E4" s="51" t="n">
        <x:v>241</x:v>
      </x:c>
      <x:c r="F4" s="74" t="n">
        <x:f>1-MIN(E4/365,1)</x:f>
        <x:v>0.3397260273972603</x:v>
      </x:c>
      <x:c r="G4" s="74" t="n">
        <x:v>0.18</x:v>
      </x:c>
      <x:c r="H4" s="74" t="n">
        <x:v>0.47</x:v>
      </x:c>
      <x:c r="I4" s="74" t="n">
        <x:f>1-MIN(H4,1)</x:f>
        <x:v>0.53</x:v>
      </x:c>
      <x:c r="J4" s="74" t="n">
        <x:v>0.31</x:v>
      </x:c>
      <x:c r="K4" s="74" t="n">
        <x:v>0.14</x:v>
      </x:c>
      <x:c r="L4" s="74" t="n">
        <x:f>AVERAGE(F4,G4,I4,J4,K4)</x:f>
        <x:v>0.2999452054794521</x:v>
      </x:c>
      <x:c r="M4" s="74" t="n">
        <x:f>PRODUCT(F4,G4,I4,J4,K4)^(1/5)</x:f>
        <x:v>0.2689263670535501</x:v>
      </x:c>
      <x:c r="N4" s="51" t="str">
        <x:v>Structured estimate</x:v>
      </x:c>
      <x:c r="O4" s="51" t="str">
        <x:v>NEITI; Ondo environmental records target; AfDB; WGI</x:v>
      </x:c>
      <x:c r="P4" s="51" t="str">
        <x:v>RLI 210–270; CDR 0.14–0.22; RLR 0.41–0.53; RCS 0.26–0.36; AAI 0.10–0.18.</x:v>
      </x:c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 ht="15" hidden="0" customHeight="1">
      <x:c r="A5" s="51" t="str">
        <x:v>M-004</x:v>
      </x:c>
      <x:c r="B5" s="51" t="str">
        <x:v>Agbabu tar sands</x:v>
      </x:c>
      <x:c r="C5" s="51" t="str">
        <x:v>Nigeria</x:v>
      </x:c>
      <x:c r="D5" s="51" t="str">
        <x:v>Post-AIMRA projection</x:v>
      </x:c>
      <x:c r="E5" s="51" t="n">
        <x:v>67</x:v>
      </x:c>
      <x:c r="F5" s="74" t="n">
        <x:f>1-MIN(E5/365,1)</x:f>
        <x:v>0.8164383561643835</x:v>
      </x:c>
      <x:c r="G5" s="74" t="n">
        <x:v>0.56</x:v>
      </x:c>
      <x:c r="H5" s="74" t="n">
        <x:v>0.15</x:v>
      </x:c>
      <x:c r="I5" s="74" t="n">
        <x:f>1-MIN(H5,1)</x:f>
        <x:v>0.85</x:v>
      </x:c>
      <x:c r="J5" s="74" t="n">
        <x:v>0.69</x:v>
      </x:c>
      <x:c r="K5" s="74" t="n">
        <x:v>0.73</x:v>
      </x:c>
      <x:c r="L5" s="74" t="n">
        <x:f>AVERAGE(F5,G5,I5,J5,K5)</x:f>
        <x:v>0.7292876712328767</x:v>
      </x:c>
      <x:c r="M5" s="74" t="n">
        <x:f>PRODUCT(F5,G5,I5,J5,K5)^(1/5)</x:f>
        <x:v>0.7216730055272745</x:v>
      </x:c>
      <x:c r="N5" s="51" t="str">
        <x:v>Projection</x:v>
      </x:c>
      <x:c r="O5" s="51" t="str">
        <x:v>RegTech analogue scaled from lower governance baseline</x:v>
      </x:c>
      <x:c r="P5" s="51" t="str">
        <x:v>Projection; not field-validated.</x:v>
      </x:c>
      <x:c r="Q5" s="51"/>
      <x:c r="R5" s="51"/>
      <x:c r="S5" s="51"/>
      <x:c r="T5" s="51"/>
      <x:c r="U5" s="51"/>
      <x:c r="V5" s="51"/>
      <x:c r="W5" s="51"/>
      <x:c r="X5" s="51"/>
      <x:c r="Y5" s="51"/>
      <x:c r="Z5" s="51"/>
    </x:row>
    <x:row r="6" ht="15" hidden="0" customHeight="1">
      <x:c r="A6" s="51" t="str">
        <x:v>M-005</x:v>
      </x:c>
      <x:c r="B6" s="51" t="str">
        <x:v>Athabasca oil sands</x:v>
      </x:c>
      <x:c r="C6" s="51" t="str">
        <x:v>Canada</x:v>
      </x:c>
      <x:c r="D6" s="51" t="str">
        <x:v>Baseline / benchmark</x:v>
      </x:c>
      <x:c r="E6" s="51" t="n">
        <x:v>33</x:v>
      </x:c>
      <x:c r="F6" s="74" t="n">
        <x:f>1-MIN(E6/365,1)</x:f>
        <x:v>0.9095890410958904</x:v>
      </x:c>
      <x:c r="G6" s="74" t="n">
        <x:v>0.82</x:v>
      </x:c>
      <x:c r="H6" s="74" t="n">
        <x:v>0.07</x:v>
      </x:c>
      <x:c r="I6" s="74" t="n">
        <x:f>1-MIN(H6,1)</x:f>
        <x:v>0.9299999999999999</x:v>
      </x:c>
      <x:c r="J6" s="74" t="n">
        <x:v>0.88</x:v>
      </x:c>
      <x:c r="K6" s="74" t="n">
        <x:v>0.79</x:v>
      </x:c>
      <x:c r="L6" s="74" t="n">
        <x:f>AVERAGE(F6,G6,I6,J6,K6)</x:f>
        <x:v>0.8659178082191781</x:v>
      </x:c>
      <x:c r="M6" s="74" t="n">
        <x:f>PRODUCT(F6,G6,I6,J6,K6)^(1/5)</x:f>
        <x:v>0.864271827712516</x:v>
      </x:c>
      <x:c r="N6" s="51" t="str">
        <x:v>Tier 1 measured benchmark</x:v>
      </x:c>
      <x:c r="O6" s="51" t="str">
        <x:v>Alberta Energy Regulator and Canadian public regulatory records</x:v>
      </x:c>
      <x:c r="P6" s="51" t="str">
        <x:v>Used as performance ceiling benchmark.</x:v>
      </x:c>
      <x:c r="Q6" s="51"/>
      <x:c r="R6" s="51"/>
      <x:c r="S6" s="51"/>
      <x:c r="T6" s="51"/>
      <x:c r="U6" s="51"/>
      <x:c r="V6" s="51"/>
      <x:c r="W6" s="51"/>
      <x:c r="X6" s="51"/>
      <x:c r="Y6" s="51"/>
      <x:c r="Z6" s="51"/>
    </x:row>
    <x:row r="7" ht="15" hidden="0" customHeight="1">
      <x:c r="A7" s="51" t="str">
        <x:v>M-006</x:v>
      </x:c>
      <x:c r="B7" s="51" t="str">
        <x:v>Orinoco Belt</x:v>
      </x:c>
      <x:c r="C7" s="51" t="str">
        <x:v>Venezuela</x:v>
      </x:c>
      <x:c r="D7" s="51" t="str">
        <x:v>Baseline / benchmark</x:v>
      </x:c>
      <x:c r="E7" s="51" t="n">
        <x:v>215</x:v>
      </x:c>
      <x:c r="F7" s="74" t="n">
        <x:f>1-MIN(E7/365,1)</x:f>
        <x:v>0.410958904109589</x:v>
      </x:c>
      <x:c r="G7" s="74" t="n">
        <x:v>0.24</x:v>
      </x:c>
      <x:c r="H7" s="74" t="n">
        <x:v>0.62</x:v>
      </x:c>
      <x:c r="I7" s="74" t="n">
        <x:f>1-MIN(H7,1)</x:f>
        <x:v>0.38</x:v>
      </x:c>
      <x:c r="J7" s="74" t="n">
        <x:v>0.22</x:v>
      </x:c>
      <x:c r="K7" s="74" t="n">
        <x:v>0.11</x:v>
      </x:c>
      <x:c r="L7" s="74" t="n">
        <x:f>AVERAGE(F7,G7,I7,J7,K7)</x:f>
        <x:v>0.2721917808219178</x:v>
      </x:c>
      <x:c r="M7" s="74" t="n">
        <x:f>PRODUCT(F7,G7,I7,J7,K7)^(1/5)</x:f>
        <x:v>0.24633250300924286</x:v>
      </x:c>
      <x:c r="N7" s="51" t="str">
        <x:v>Tier 2 structured estimate</x:v>
      </x:c>
      <x:c r="O7" s="51" t="str">
        <x:v>Governance proxies and public heavy-oil information</x:v>
      </x:c>
      <x:c r="P7" s="51" t="str">
        <x:v>Directional only; limited transparency.</x:v>
      </x:c>
      <x:c r="Q7" s="51"/>
      <x:c r="R7" s="51"/>
      <x:c r="S7" s="51"/>
      <x:c r="T7" s="51"/>
      <x:c r="U7" s="51"/>
      <x:c r="V7" s="51"/>
      <x:c r="W7" s="51"/>
      <x:c r="X7" s="51"/>
      <x:c r="Y7" s="51"/>
      <x:c r="Z7" s="51"/>
    </x:row>
    <x:row r="8" ht="15" hidden="0" customHeight="1">
      <x:c r="A8" s="51" t="str">
        <x:v>M-007</x:v>
      </x:c>
      <x:c r="B8" s="51" t="str">
        <x:v>Utah tar sands</x:v>
      </x:c>
      <x:c r="C8" s="51" t="str">
        <x:v>United States</x:v>
      </x:c>
      <x:c r="D8" s="51" t="str">
        <x:v>Baseline / benchmark</x:v>
      </x:c>
      <x:c r="E8" s="51" t="n">
        <x:v>99</x:v>
      </x:c>
      <x:c r="F8" s="74" t="n">
        <x:f>1-MIN(E8/365,1)</x:f>
        <x:v>0.7287671232876712</x:v>
      </x:c>
      <x:c r="G8" s="74" t="n">
        <x:v>0.48</x:v>
      </x:c>
      <x:c r="H8" s="74" t="n">
        <x:v>0.31</x:v>
      </x:c>
      <x:c r="I8" s="74" t="n">
        <x:f>1-MIN(H8,1)</x:f>
        <x:v>0.69</x:v>
      </x:c>
      <x:c r="J8" s="74" t="n">
        <x:v>0.61</x:v>
      </x:c>
      <x:c r="K8" s="74" t="n">
        <x:v>0.38</x:v>
      </x:c>
      <x:c r="L8" s="74" t="n">
        <x:f>AVERAGE(F8,G8,I8,J8,K8)</x:f>
        <x:v>0.5777534246575342</x:v>
      </x:c>
      <x:c r="M8" s="74" t="n">
        <x:f>PRODUCT(F8,G8,I8,J8,K8)^(1/5)</x:f>
        <x:v>0.5617699526172596</x:v>
      </x:c>
      <x:c r="N8" s="51" t="str">
        <x:v>Tier 3 indicative</x:v>
      </x:c>
      <x:c r="O8" s="51" t="str">
        <x:v>BLM and Utah DOGM public records</x:v>
      </x:c>
      <x:c r="P8" s="51" t="str">
        <x:v>Indicative only; used for spectrum positioning.</x:v>
      </x:c>
      <x:c r="Q8" s="51"/>
      <x:c r="R8" s="51"/>
      <x:c r="S8" s="51"/>
      <x:c r="T8" s="51"/>
      <x:c r="U8" s="51"/>
      <x:c r="V8" s="51"/>
      <x:c r="W8" s="51"/>
      <x:c r="X8" s="51"/>
      <x:c r="Y8" s="51"/>
      <x:c r="Z8" s="51"/>
    </x:row>
    <x:row r="9" ht="15" hidden="0" customHeight="1">
      <x:c r="A9" s="51"/>
      <x:c r="B9" s="51"/>
      <x:c r="C9" s="51"/>
      <x:c r="D9" s="51"/>
      <x:c r="E9" s="51"/>
      <x:c r="F9" s="51"/>
      <x:c r="G9" s="51"/>
      <x:c r="H9" s="51"/>
      <x:c r="I9" s="51"/>
      <x:c r="J9" s="51"/>
      <x:c r="K9" s="51"/>
      <x:c r="L9" s="51"/>
      <x:c r="M9" s="51"/>
      <x:c r="N9" s="51"/>
      <x:c r="O9" s="51"/>
      <x:c r="P9" s="51"/>
      <x:c r="Q9" s="51"/>
      <x:c r="R9" s="51"/>
      <x:c r="S9" s="51"/>
      <x:c r="T9" s="51"/>
      <x:c r="U9" s="51"/>
      <x:c r="V9" s="51"/>
      <x:c r="W9" s="51"/>
      <x:c r="X9" s="51"/>
      <x:c r="Y9" s="51"/>
      <x:c r="Z9" s="51"/>
    </x:row>
    <x:row r="10" ht="15" hidden="0" customHeight="1">
      <x:c r="A10" s="51"/>
      <x:c r="B10" s="51"/>
      <x:c r="C10" s="51"/>
      <x:c r="D10" s="51"/>
      <x:c r="E10" s="51"/>
      <x:c r="F10" s="51"/>
      <x:c r="G10" s="51"/>
      <x:c r="H10" s="51"/>
      <x:c r="I10" s="51"/>
      <x:c r="J10" s="51"/>
      <x:c r="K10" s="51"/>
      <x:c r="L10" s="51"/>
      <x:c r="M10" s="51"/>
      <x:c r="N10" s="51"/>
      <x:c r="O10" s="51"/>
      <x:c r="P10" s="51"/>
      <x:c r="Q10" s="51"/>
      <x:c r="R10" s="51"/>
      <x:c r="S10" s="51"/>
      <x:c r="T10" s="51"/>
      <x:c r="U10" s="51"/>
      <x:c r="V10" s="51"/>
      <x:c r="W10" s="51"/>
      <x:c r="X10" s="51"/>
      <x:c r="Y10" s="51"/>
      <x:c r="Z10" s="51"/>
    </x:row>
    <x:row r="11" ht="15" hidden="0" customHeight="1">
      <x:c r="A11" s="55" t="str">
        <x:v>Comparison</x:v>
      </x:c>
      <x:c r="B11" s="55" t="str">
        <x:v>Baseline G</x:v>
      </x:c>
      <x:c r="C11" s="55" t="str">
        <x:v>Projected/Benchmark G</x:v>
      </x:c>
      <x:c r="D11" s="55" t="str">
        <x:v>Improvement / Position</x:v>
      </x:c>
      <x:c r="E11" s="51"/>
      <x:c r="F11" s="51"/>
      <x:c r="G11" s="51"/>
      <x:c r="H11" s="51"/>
      <x:c r="I11" s="51"/>
      <x:c r="J11" s="51"/>
      <x:c r="K11" s="51"/>
      <x:c r="L11" s="51"/>
      <x:c r="M11" s="51"/>
      <x:c r="N11" s="51"/>
      <x:c r="O11" s="51"/>
      <x:c r="P11" s="51"/>
      <x:c r="Q11" s="51"/>
      <x:c r="R11" s="51"/>
      <x:c r="S11" s="51"/>
      <x:c r="T11" s="51"/>
      <x:c r="U11" s="51"/>
      <x:c r="V11" s="51"/>
      <x:c r="W11" s="51"/>
      <x:c r="X11" s="51"/>
      <x:c r="Y11" s="51"/>
      <x:c r="Z11" s="51"/>
    </x:row>
    <x:row r="12" ht="15" hidden="0" customHeight="1">
      <x:c r="A12" s="51" t="str">
        <x:v>South Africa AIMRA uplift</x:v>
      </x:c>
      <x:c r="B12" s="74" t="n">
        <x:f>L2</x:f>
        <x:v>0.4375342465753425</x:v>
      </x:c>
      <x:c r="C12" s="74" t="n">
        <x:f>L3</x:f>
        <x:v>0.8095068493150684</x:v>
      </x:c>
      <x:c r="D12" s="75" t="n">
        <x:f>L3/L2-1</x:f>
        <x:v>0.8501565435190981</x:v>
      </x:c>
      <x:c r="E12" s="51"/>
      <x:c r="F12" s="51"/>
      <x:c r="G12" s="51"/>
      <x:c r="H12" s="51"/>
      <x:c r="I12" s="51"/>
      <x:c r="J12" s="51"/>
      <x:c r="K12" s="51"/>
      <x:c r="L12" s="51"/>
      <x:c r="M12" s="51"/>
      <x:c r="N12" s="51"/>
      <x:c r="O12" s="51"/>
      <x:c r="P12" s="51"/>
      <x:c r="Q12" s="51"/>
      <x:c r="R12" s="51"/>
      <x:c r="S12" s="51"/>
      <x:c r="T12" s="51"/>
      <x:c r="U12" s="51"/>
      <x:c r="V12" s="51"/>
      <x:c r="W12" s="51"/>
      <x:c r="X12" s="51"/>
      <x:c r="Y12" s="51"/>
      <x:c r="Z12" s="51"/>
    </x:row>
    <x:row r="13" ht="15" hidden="0" customHeight="1">
      <x:c r="A13" s="51" t="str">
        <x:v>Agbabu AIMRA uplift</x:v>
      </x:c>
      <x:c r="B13" s="74" t="n">
        <x:f>L4</x:f>
        <x:v>0.2999452054794521</x:v>
      </x:c>
      <x:c r="C13" s="74" t="n">
        <x:f>L5</x:f>
        <x:v>0.7292876712328767</x:v>
      </x:c>
      <x:c r="D13" s="75" t="n">
        <x:f>L5/L4-1</x:f>
        <x:v>1.431402995981001</x:v>
      </x:c>
      <x:c r="E13" s="51"/>
      <x:c r="F13" s="51"/>
      <x:c r="G13" s="51"/>
      <x:c r="H13" s="51"/>
      <x:c r="I13" s="51"/>
      <x:c r="J13" s="51"/>
      <x:c r="K13" s="51"/>
      <x:c r="L13" s="51"/>
      <x:c r="M13" s="51"/>
      <x:c r="N13" s="51"/>
      <x:c r="O13" s="51"/>
      <x:c r="P13" s="51"/>
      <x:c r="Q13" s="51"/>
      <x:c r="R13" s="51"/>
      <x:c r="S13" s="51"/>
      <x:c r="T13" s="51"/>
      <x:c r="U13" s="51"/>
      <x:c r="V13" s="51"/>
      <x:c r="W13" s="51"/>
      <x:c r="X13" s="51"/>
      <x:c r="Y13" s="51"/>
      <x:c r="Z13" s="51"/>
    </x:row>
    <x:row r="14" ht="15" hidden="0" customHeight="1">
      <x:c r="A14" s="51" t="str">
        <x:v>Agbabu projected vs Athabasca ceiling</x:v>
      </x:c>
      <x:c r="B14" s="74" t="n">
        <x:f>L5</x:f>
        <x:v>0.7292876712328767</x:v>
      </x:c>
      <x:c r="C14" s="74" t="n">
        <x:f>L6</x:f>
        <x:v>0.8659178082191781</x:v>
      </x:c>
      <x:c r="D14" s="75" t="n">
        <x:f>L5/L6</x:f>
        <x:v>0.842213503765108</x:v>
      </x:c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  <x:c r="O14" s="51"/>
      <x:c r="P14" s="51"/>
      <x:c r="Q14" s="51"/>
      <x:c r="R14" s="51"/>
      <x:c r="S14" s="51"/>
      <x:c r="T14" s="51"/>
      <x:c r="U14" s="51"/>
      <x:c r="V14" s="51"/>
      <x:c r="W14" s="51"/>
      <x:c r="X14" s="51"/>
      <x:c r="Y14" s="51"/>
      <x:c r="Z14" s="51"/>
    </x:row>
    <x:row r="15" ht="15" hidden="0" customHeight="1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  <x:c r="P15" s="51"/>
      <x:c r="Q15" s="51"/>
      <x:c r="R15" s="51"/>
      <x:c r="S15" s="51"/>
      <x:c r="T15" s="51"/>
      <x:c r="U15" s="51"/>
      <x:c r="V15" s="51"/>
      <x:c r="W15" s="51"/>
      <x:c r="X15" s="51"/>
      <x:c r="Y15" s="51"/>
      <x:c r="Z15" s="51"/>
    </x:row>
    <x:row r="16" ht="15" hidden="0" customHeight="1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  <x:c r="O16" s="51"/>
      <x:c r="P16" s="51"/>
      <x:c r="Q16" s="51"/>
      <x:c r="R16" s="51"/>
      <x:c r="S16" s="51"/>
      <x:c r="T16" s="51"/>
      <x:c r="U16" s="51"/>
      <x:c r="V16" s="51"/>
      <x:c r="W16" s="51"/>
      <x:c r="X16" s="51"/>
      <x:c r="Y16" s="51"/>
      <x:c r="Z16" s="51"/>
    </x:row>
    <x:row r="17" ht="15" hidden="0" customHeight="1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  <x:c r="O17" s="51"/>
      <x:c r="P17" s="51"/>
      <x:c r="Q17" s="51"/>
      <x:c r="R17" s="51"/>
      <x:c r="S17" s="51"/>
      <x:c r="T17" s="51"/>
      <x:c r="U17" s="51"/>
      <x:c r="V17" s="51"/>
      <x:c r="W17" s="51"/>
      <x:c r="X17" s="51"/>
      <x:c r="Y17" s="51"/>
      <x:c r="Z17" s="51"/>
    </x:row>
    <x:row r="18" ht="15" hidden="0" customHeight="1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  <x:c r="O18" s="51"/>
      <x:c r="P18" s="51"/>
      <x:c r="Q18" s="51"/>
      <x:c r="R18" s="51"/>
      <x:c r="S18" s="51"/>
      <x:c r="T18" s="51"/>
      <x:c r="U18" s="51"/>
      <x:c r="V18" s="51"/>
      <x:c r="W18" s="51"/>
      <x:c r="X18" s="51"/>
      <x:c r="Y18" s="51"/>
      <x:c r="Z18" s="51"/>
    </x:row>
    <x:row r="19" ht="15" hidden="0" customHeight="1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  <x:c r="O19" s="51"/>
      <x:c r="P19" s="51"/>
      <x:c r="Q19" s="51"/>
      <x:c r="R19" s="51"/>
      <x:c r="S19" s="51"/>
      <x:c r="T19" s="51"/>
      <x:c r="U19" s="51"/>
      <x:c r="V19" s="51"/>
      <x:c r="W19" s="51"/>
      <x:c r="X19" s="51"/>
      <x:c r="Y19" s="51"/>
      <x:c r="Z19" s="51"/>
    </x:row>
    <x:row r="20" ht="15" hidden="0" customHeight="1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  <x:c r="P20" s="51"/>
      <x:c r="Q20" s="51"/>
      <x:c r="R20" s="51"/>
      <x:c r="S20" s="51"/>
      <x:c r="T20" s="51"/>
      <x:c r="U20" s="51"/>
      <x:c r="V20" s="51"/>
      <x:c r="W20" s="51"/>
      <x:c r="X20" s="51"/>
      <x:c r="Y20" s="51"/>
      <x:c r="Z20" s="51"/>
    </x:row>
    <x:row r="21" ht="15" hidden="0" customHeight="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  <x:c r="P21" s="51"/>
      <x:c r="Q21" s="51"/>
      <x:c r="R21" s="51"/>
      <x:c r="S21" s="51"/>
      <x:c r="T21" s="51"/>
      <x:c r="U21" s="51"/>
      <x:c r="V21" s="51"/>
      <x:c r="W21" s="51"/>
      <x:c r="X21" s="51"/>
      <x:c r="Y21" s="51"/>
      <x:c r="Z21" s="51"/>
    </x:row>
    <x:row r="22" ht="15" hidden="0" customHeight="1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  <x:c r="P22" s="51"/>
      <x:c r="Q22" s="51"/>
      <x:c r="R22" s="51"/>
      <x:c r="S22" s="51"/>
      <x:c r="T22" s="51"/>
      <x:c r="U22" s="51"/>
      <x:c r="V22" s="51"/>
      <x:c r="W22" s="51"/>
      <x:c r="X22" s="51"/>
      <x:c r="Y22" s="51"/>
      <x:c r="Z22" s="51"/>
    </x:row>
    <x:row r="23" ht="15" hidden="0" customHeight="1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  <x:c r="P23" s="51"/>
      <x:c r="Q23" s="51"/>
      <x:c r="R23" s="51"/>
      <x:c r="S23" s="51"/>
      <x:c r="T23" s="51"/>
      <x:c r="U23" s="51"/>
      <x:c r="V23" s="51"/>
      <x:c r="W23" s="51"/>
      <x:c r="X23" s="51"/>
      <x:c r="Y23" s="51"/>
      <x:c r="Z23" s="51"/>
    </x:row>
    <x:row r="24" ht="15" hidden="0" customHeight="1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  <x:c r="P24" s="51"/>
      <x:c r="Q24" s="51"/>
      <x:c r="R24" s="51"/>
      <x:c r="S24" s="51"/>
      <x:c r="T24" s="51"/>
      <x:c r="U24" s="51"/>
      <x:c r="V24" s="51"/>
      <x:c r="W24" s="51"/>
      <x:c r="X24" s="51"/>
      <x:c r="Y24" s="51"/>
      <x:c r="Z24" s="51"/>
    </x:row>
    <x:row r="25" ht="15" hidden="0" customHeight="1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  <x:c r="P25" s="51"/>
      <x:c r="Q25" s="51"/>
      <x:c r="R25" s="51"/>
      <x:c r="S25" s="51"/>
      <x:c r="T25" s="51"/>
      <x:c r="U25" s="51"/>
      <x:c r="V25" s="51"/>
      <x:c r="W25" s="51"/>
      <x:c r="X25" s="51"/>
      <x:c r="Y25" s="51"/>
      <x:c r="Z25" s="51"/>
    </x:row>
    <x:row r="26" ht="15" hidden="0" customHeight="1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  <x:c r="P26" s="51"/>
      <x:c r="Q26" s="51"/>
      <x:c r="R26" s="51"/>
      <x:c r="S26" s="51"/>
      <x:c r="T26" s="51"/>
      <x:c r="U26" s="51"/>
      <x:c r="V26" s="51"/>
      <x:c r="W26" s="51"/>
      <x:c r="X26" s="51"/>
      <x:c r="Y26" s="51"/>
      <x:c r="Z26" s="51"/>
    </x:row>
    <x:row r="27" ht="15" hidden="0" customHeight="1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  <x:c r="P27" s="51"/>
      <x:c r="Q27" s="51"/>
      <x:c r="R27" s="51"/>
      <x:c r="S27" s="51"/>
      <x:c r="T27" s="51"/>
      <x:c r="U27" s="51"/>
      <x:c r="V27" s="51"/>
      <x:c r="W27" s="51"/>
      <x:c r="X27" s="51"/>
      <x:c r="Y27" s="51"/>
      <x:c r="Z27" s="51"/>
    </x:row>
    <x:row r="28" ht="15" hidden="0" customHeight="1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  <x:c r="P28" s="51"/>
      <x:c r="Q28" s="51"/>
      <x:c r="R28" s="51"/>
      <x:c r="S28" s="51"/>
      <x:c r="T28" s="51"/>
      <x:c r="U28" s="51"/>
      <x:c r="V28" s="51"/>
      <x:c r="W28" s="51"/>
      <x:c r="X28" s="51"/>
      <x:c r="Y28" s="51"/>
      <x:c r="Z28" s="51"/>
    </x:row>
    <x:row r="29" ht="15" hidden="0" customHeight="1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  <x:c r="P29" s="51"/>
      <x:c r="Q29" s="51"/>
      <x:c r="R29" s="51"/>
      <x:c r="S29" s="51"/>
      <x:c r="T29" s="51"/>
      <x:c r="U29" s="51"/>
      <x:c r="V29" s="51"/>
      <x:c r="W29" s="51"/>
      <x:c r="X29" s="51"/>
      <x:c r="Y29" s="51"/>
      <x:c r="Z29" s="51"/>
    </x:row>
    <x:row r="30" ht="15" hidden="0" customHeight="1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  <x:c r="P30" s="51"/>
      <x:c r="Q30" s="51"/>
      <x:c r="R30" s="51"/>
      <x:c r="S30" s="51"/>
      <x:c r="T30" s="51"/>
      <x:c r="U30" s="51"/>
      <x:c r="V30" s="51"/>
      <x:c r="W30" s="51"/>
      <x:c r="X30" s="51"/>
      <x:c r="Y30" s="51"/>
      <x:c r="Z30" s="51"/>
    </x:row>
    <x:row r="31" ht="15" hidden="0" customHeight="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  <x:c r="P31" s="51"/>
      <x:c r="Q31" s="51"/>
      <x:c r="R31" s="51"/>
      <x:c r="S31" s="51"/>
      <x:c r="T31" s="51"/>
      <x:c r="U31" s="51"/>
      <x:c r="V31" s="51"/>
      <x:c r="W31" s="51"/>
      <x:c r="X31" s="51"/>
      <x:c r="Y31" s="51"/>
      <x:c r="Z31" s="51"/>
    </x:row>
    <x:row r="32" ht="15" hidden="0" customHeight="1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  <x:c r="P32" s="51"/>
      <x:c r="Q32" s="51"/>
      <x:c r="R32" s="51"/>
      <x:c r="S32" s="51"/>
      <x:c r="T32" s="51"/>
      <x:c r="U32" s="51"/>
      <x:c r="V32" s="51"/>
      <x:c r="W32" s="51"/>
      <x:c r="X32" s="51"/>
      <x:c r="Y32" s="51"/>
      <x:c r="Z32" s="51"/>
    </x:row>
    <x:row r="33" ht="15" hidden="0" customHeight="1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  <x:c r="P33" s="51"/>
      <x:c r="Q33" s="51"/>
      <x:c r="R33" s="51"/>
      <x:c r="S33" s="51"/>
      <x:c r="T33" s="51"/>
      <x:c r="U33" s="51"/>
      <x:c r="V33" s="51"/>
      <x:c r="W33" s="51"/>
      <x:c r="X33" s="51"/>
      <x:c r="Y33" s="51"/>
      <x:c r="Z33" s="51"/>
    </x:row>
    <x:row r="34" ht="15" hidden="0" customHeight="1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  <x:c r="P34" s="51"/>
      <x:c r="Q34" s="51"/>
      <x:c r="R34" s="51"/>
      <x:c r="S34" s="51"/>
      <x:c r="T34" s="51"/>
      <x:c r="U34" s="51"/>
      <x:c r="V34" s="51"/>
      <x:c r="W34" s="51"/>
      <x:c r="X34" s="51"/>
      <x:c r="Y34" s="51"/>
      <x:c r="Z34" s="51"/>
    </x:row>
    <x:row r="35" ht="15" hidden="0" customHeight="1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  <x:c r="P35" s="51"/>
      <x:c r="Q35" s="51"/>
      <x:c r="R35" s="51"/>
      <x:c r="S35" s="51"/>
      <x:c r="T35" s="51"/>
      <x:c r="U35" s="51"/>
      <x:c r="V35" s="51"/>
      <x:c r="W35" s="51"/>
      <x:c r="X35" s="51"/>
      <x:c r="Y35" s="51"/>
      <x:c r="Z35" s="51"/>
    </x:row>
    <x:row r="36" ht="15" hidden="0" customHeight="1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  <x:c r="P36" s="51"/>
      <x:c r="Q36" s="51"/>
      <x:c r="R36" s="51"/>
      <x:c r="S36" s="51"/>
      <x:c r="T36" s="51"/>
      <x:c r="U36" s="51"/>
      <x:c r="V36" s="51"/>
      <x:c r="W36" s="51"/>
      <x:c r="X36" s="51"/>
      <x:c r="Y36" s="51"/>
      <x:c r="Z36" s="51"/>
    </x:row>
    <x:row r="37" ht="15" hidden="0" customHeight="1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  <x:c r="P37" s="51"/>
      <x:c r="Q37" s="51"/>
      <x:c r="R37" s="51"/>
      <x:c r="S37" s="51"/>
      <x:c r="T37" s="51"/>
      <x:c r="U37" s="51"/>
      <x:c r="V37" s="51"/>
      <x:c r="W37" s="51"/>
      <x:c r="X37" s="51"/>
      <x:c r="Y37" s="51"/>
      <x:c r="Z37" s="51"/>
    </x:row>
    <x:row r="38" ht="15" hidden="0" customHeight="1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  <x:c r="P38" s="51"/>
      <x:c r="Q38" s="51"/>
      <x:c r="R38" s="51"/>
      <x:c r="S38" s="51"/>
      <x:c r="T38" s="51"/>
      <x:c r="U38" s="51"/>
      <x:c r="V38" s="51"/>
      <x:c r="W38" s="51"/>
      <x:c r="X38" s="51"/>
      <x:c r="Y38" s="51"/>
      <x:c r="Z38" s="51"/>
    </x:row>
    <x:row r="39" ht="15" hidden="0" customHeight="1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  <x:c r="P39" s="51"/>
      <x:c r="Q39" s="51"/>
      <x:c r="R39" s="51"/>
      <x:c r="S39" s="51"/>
      <x:c r="T39" s="51"/>
      <x:c r="U39" s="51"/>
      <x:c r="V39" s="51"/>
      <x:c r="W39" s="51"/>
      <x:c r="X39" s="51"/>
      <x:c r="Y39" s="51"/>
      <x:c r="Z39" s="51"/>
    </x:row>
    <x:row r="40" ht="15" hidden="0" customHeight="1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  <x:c r="P40" s="51"/>
      <x:c r="Q40" s="51"/>
      <x:c r="R40" s="51"/>
      <x:c r="S40" s="51"/>
      <x:c r="T40" s="51"/>
      <x:c r="U40" s="51"/>
      <x:c r="V40" s="51"/>
      <x:c r="W40" s="51"/>
      <x:c r="X40" s="51"/>
      <x:c r="Y40" s="51"/>
      <x:c r="Z40" s="51"/>
    </x:row>
    <x:row r="41" ht="15" hidden="0" customHeight="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  <x:c r="P41" s="51"/>
      <x:c r="Q41" s="51"/>
      <x:c r="R41" s="51"/>
      <x:c r="S41" s="51"/>
      <x:c r="T41" s="51"/>
      <x:c r="U41" s="51"/>
      <x:c r="V41" s="51"/>
      <x:c r="W41" s="51"/>
      <x:c r="X41" s="51"/>
      <x:c r="Y41" s="51"/>
      <x:c r="Z41" s="51"/>
    </x:row>
    <x:row r="42" ht="15" hidden="0" customHeight="1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  <x:c r="P42" s="51"/>
      <x:c r="Q42" s="51"/>
      <x:c r="R42" s="51"/>
      <x:c r="S42" s="51"/>
      <x:c r="T42" s="51"/>
      <x:c r="U42" s="51"/>
      <x:c r="V42" s="51"/>
      <x:c r="W42" s="51"/>
      <x:c r="X42" s="51"/>
      <x:c r="Y42" s="51"/>
      <x:c r="Z42" s="51"/>
    </x:row>
    <x:row r="43" ht="15" hidden="0" customHeight="1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  <x:c r="P43" s="51"/>
      <x:c r="Q43" s="51"/>
      <x:c r="R43" s="51"/>
      <x:c r="S43" s="51"/>
      <x:c r="T43" s="51"/>
      <x:c r="U43" s="51"/>
      <x:c r="V43" s="51"/>
      <x:c r="W43" s="51"/>
      <x:c r="X43" s="51"/>
      <x:c r="Y43" s="51"/>
      <x:c r="Z43" s="51"/>
    </x:row>
    <x:row r="44" ht="15" hidden="0" customHeight="1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  <x:c r="P44" s="51"/>
      <x:c r="Q44" s="51"/>
      <x:c r="R44" s="51"/>
      <x:c r="S44" s="51"/>
      <x:c r="T44" s="51"/>
      <x:c r="U44" s="51"/>
      <x:c r="V44" s="51"/>
      <x:c r="W44" s="51"/>
      <x:c r="X44" s="51"/>
      <x:c r="Y44" s="51"/>
      <x:c r="Z44" s="51"/>
    </x:row>
    <x:row r="45" ht="15" hidden="0" customHeight="1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  <x:c r="P45" s="51"/>
      <x:c r="Q45" s="51"/>
      <x:c r="R45" s="51"/>
      <x:c r="S45" s="51"/>
      <x:c r="T45" s="51"/>
      <x:c r="U45" s="51"/>
      <x:c r="V45" s="51"/>
      <x:c r="W45" s="51"/>
      <x:c r="X45" s="51"/>
      <x:c r="Y45" s="51"/>
      <x:c r="Z45" s="51"/>
    </x:row>
    <x:row r="46" ht="15" hidden="0" customHeight="1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  <x:c r="P46" s="51"/>
      <x:c r="Q46" s="51"/>
      <x:c r="R46" s="51"/>
      <x:c r="S46" s="51"/>
      <x:c r="T46" s="51"/>
      <x:c r="U46" s="51"/>
      <x:c r="V46" s="51"/>
      <x:c r="W46" s="51"/>
      <x:c r="X46" s="51"/>
      <x:c r="Y46" s="51"/>
      <x:c r="Z46" s="51"/>
    </x:row>
    <x:row r="47" ht="15" hidden="0" customHeight="1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  <x:c r="P47" s="51"/>
      <x:c r="Q47" s="51"/>
      <x:c r="R47" s="51"/>
      <x:c r="S47" s="51"/>
      <x:c r="T47" s="51"/>
      <x:c r="U47" s="51"/>
      <x:c r="V47" s="51"/>
      <x:c r="W47" s="51"/>
      <x:c r="X47" s="51"/>
      <x:c r="Y47" s="51"/>
      <x:c r="Z47" s="51"/>
    </x:row>
    <x:row r="48" ht="15" hidden="0" customHeight="1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  <x:c r="P48" s="51"/>
      <x:c r="Q48" s="51"/>
      <x:c r="R48" s="51"/>
      <x:c r="S48" s="51"/>
      <x:c r="T48" s="51"/>
      <x:c r="U48" s="51"/>
      <x:c r="V48" s="51"/>
      <x:c r="W48" s="51"/>
      <x:c r="X48" s="51"/>
      <x:c r="Y48" s="51"/>
      <x:c r="Z48" s="51"/>
    </x:row>
    <x:row r="49" ht="15" hidden="0" customHeight="1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  <x:c r="P49" s="51"/>
      <x:c r="Q49" s="51"/>
      <x:c r="R49" s="51"/>
      <x:c r="S49" s="51"/>
      <x:c r="T49" s="51"/>
      <x:c r="U49" s="51"/>
      <x:c r="V49" s="51"/>
      <x:c r="W49" s="51"/>
      <x:c r="X49" s="51"/>
      <x:c r="Y49" s="51"/>
      <x:c r="Z49" s="51"/>
    </x:row>
    <x:row r="50" ht="15" hidden="0" customHeight="1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  <x:c r="P50" s="51"/>
      <x:c r="Q50" s="51"/>
      <x:c r="R50" s="51"/>
      <x:c r="S50" s="51"/>
      <x:c r="T50" s="51"/>
      <x:c r="U50" s="51"/>
      <x:c r="V50" s="51"/>
      <x:c r="W50" s="51"/>
      <x:c r="X50" s="51"/>
      <x:c r="Y50" s="51"/>
      <x:c r="Z50" s="51"/>
    </x:row>
    <x:row r="51" ht="15" hidden="0" customHeight="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  <x:c r="O51" s="51"/>
      <x:c r="P51" s="51"/>
      <x:c r="Q51" s="51"/>
      <x:c r="R51" s="51"/>
      <x:c r="S51" s="51"/>
      <x:c r="T51" s="51"/>
      <x:c r="U51" s="51"/>
      <x:c r="V51" s="51"/>
      <x:c r="W51" s="51"/>
      <x:c r="X51" s="51"/>
      <x:c r="Y51" s="51"/>
      <x:c r="Z51" s="51"/>
    </x:row>
    <x:row r="52" ht="15" hidden="0" customHeight="1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  <x:c r="N52" s="51"/>
      <x:c r="O52" s="51"/>
      <x:c r="P52" s="51"/>
      <x:c r="Q52" s="51"/>
      <x:c r="R52" s="51"/>
      <x:c r="S52" s="51"/>
      <x:c r="T52" s="51"/>
      <x:c r="U52" s="51"/>
      <x:c r="V52" s="51"/>
      <x:c r="W52" s="51"/>
      <x:c r="X52" s="51"/>
      <x:c r="Y52" s="51"/>
      <x:c r="Z52" s="51"/>
    </x:row>
    <x:row r="53" ht="15" hidden="0" customHeight="1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  <x:c r="N53" s="51"/>
      <x:c r="O53" s="51"/>
      <x:c r="P53" s="51"/>
      <x:c r="Q53" s="51"/>
      <x:c r="R53" s="51"/>
      <x:c r="S53" s="51"/>
      <x:c r="T53" s="51"/>
      <x:c r="U53" s="51"/>
      <x:c r="V53" s="51"/>
      <x:c r="W53" s="51"/>
      <x:c r="X53" s="51"/>
      <x:c r="Y53" s="51"/>
      <x:c r="Z53" s="51"/>
    </x:row>
    <x:row r="54" ht="15" hidden="0" customHeight="1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  <x:c r="O54" s="51"/>
      <x:c r="P54" s="51"/>
      <x:c r="Q54" s="51"/>
      <x:c r="R54" s="51"/>
      <x:c r="S54" s="51"/>
      <x:c r="T54" s="51"/>
      <x:c r="U54" s="51"/>
      <x:c r="V54" s="51"/>
      <x:c r="W54" s="51"/>
      <x:c r="X54" s="51"/>
      <x:c r="Y54" s="51"/>
      <x:c r="Z54" s="51"/>
    </x:row>
    <x:row r="55" ht="15" hidden="0" customHeight="1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  <x:c r="O55" s="51"/>
      <x:c r="P55" s="51"/>
      <x:c r="Q55" s="51"/>
      <x:c r="R55" s="51"/>
      <x:c r="S55" s="51"/>
      <x:c r="T55" s="51"/>
      <x:c r="U55" s="51"/>
      <x:c r="V55" s="51"/>
      <x:c r="W55" s="51"/>
      <x:c r="X55" s="51"/>
      <x:c r="Y55" s="51"/>
      <x:c r="Z55" s="51"/>
    </x:row>
    <x:row r="56" ht="15" hidden="0" customHeight="1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  <x:c r="O56" s="51"/>
      <x:c r="P56" s="51"/>
      <x:c r="Q56" s="51"/>
      <x:c r="R56" s="51"/>
      <x:c r="S56" s="51"/>
      <x:c r="T56" s="51"/>
      <x:c r="U56" s="51"/>
      <x:c r="V56" s="51"/>
      <x:c r="W56" s="51"/>
      <x:c r="X56" s="51"/>
      <x:c r="Y56" s="51"/>
      <x:c r="Z56" s="51"/>
    </x:row>
    <x:row r="57" ht="15" hidden="0" customHeight="1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  <x:c r="O57" s="51"/>
      <x:c r="P57" s="51"/>
      <x:c r="Q57" s="51"/>
      <x:c r="R57" s="51"/>
      <x:c r="S57" s="51"/>
      <x:c r="T57" s="51"/>
      <x:c r="U57" s="51"/>
      <x:c r="V57" s="51"/>
      <x:c r="W57" s="51"/>
      <x:c r="X57" s="51"/>
      <x:c r="Y57" s="51"/>
      <x:c r="Z57" s="51"/>
    </x:row>
    <x:row r="58" ht="15" hidden="0" customHeight="1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  <x:c r="O58" s="51"/>
      <x:c r="P58" s="51"/>
      <x:c r="Q58" s="51"/>
      <x:c r="R58" s="51"/>
      <x:c r="S58" s="51"/>
      <x:c r="T58" s="51"/>
      <x:c r="U58" s="51"/>
      <x:c r="V58" s="51"/>
      <x:c r="W58" s="51"/>
      <x:c r="X58" s="51"/>
      <x:c r="Y58" s="51"/>
      <x:c r="Z58" s="51"/>
    </x:row>
    <x:row r="59" ht="15" hidden="0" customHeight="1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  <x:c r="O59" s="51"/>
      <x:c r="P59" s="51"/>
      <x:c r="Q59" s="51"/>
      <x:c r="R59" s="51"/>
      <x:c r="S59" s="51"/>
      <x:c r="T59" s="51"/>
      <x:c r="U59" s="51"/>
      <x:c r="V59" s="51"/>
      <x:c r="W59" s="51"/>
      <x:c r="X59" s="51"/>
      <x:c r="Y59" s="51"/>
      <x:c r="Z59" s="51"/>
    </x:row>
    <x:row r="60" ht="15" hidden="0" customHeight="1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  <x:c r="O60" s="51"/>
      <x:c r="P60" s="51"/>
      <x:c r="Q60" s="51"/>
      <x:c r="R60" s="51"/>
      <x:c r="S60" s="51"/>
      <x:c r="T60" s="51"/>
      <x:c r="U60" s="51"/>
      <x:c r="V60" s="51"/>
      <x:c r="W60" s="51"/>
      <x:c r="X60" s="51"/>
      <x:c r="Y60" s="51"/>
      <x:c r="Z60" s="51"/>
    </x:row>
  </x:sheetData>
  <x:conditionalFormatting sqref="L2:L8">
    <x:cfRule type="dataBar" priority="1">
      <x:dataBar>
        <x:cfvo type="min"/>
        <x:cfvo type="max"/>
        <x:color rgb="5B9BD5"/>
      </x:dataBar>
      <x:extLst>
        <x:ext xmlns:x14="http://schemas.microsoft.com/office/spreadsheetml/2009/9/main" uri="{B025F937-C7B1-47D3-B67F-A62EFF666E3E}">
          <x14:id>{456E6AB8-6A6B-9035-BBD6-706F1CDDE5ED}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cacb0d1fdaf441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56E6AB8-6A6B-9035-BBD6-706F1CDDE5ED}">
            <x14:dataBar gradient="1">
              <x14:cfvo type="min"/>
              <x14:cfvo type="max"/>
              <x14:fillColor rgb="5B9BD5"/>
            </x14:dataBar>
          </x14:cfRule>
          <xm:sqref>L2:L8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18" hidden="0" customWidth="1"/>
    <x:col min="5" max="5" width="16" hidden="0" customWidth="1"/>
    <x:col min="6" max="6" width="18" hidden="0" customWidth="1"/>
    <x:col min="7" max="7" width="18" hidden="0" customWidth="1"/>
    <x:col min="8" max="8" width="20" hidden="0" customWidth="1"/>
    <x:col min="9" max="9" width="24" hidden="0" customWidth="1"/>
    <x:col min="10" max="10" width="32" hidden="0" customWidth="1"/>
    <x:col min="11" max="11" width="32" hidden="0" customWidth="1"/>
    <x:col min="12" max="12" width="32" hidden="0" customWidth="1"/>
    <x:col min="13" max="13" width="26" hidden="0" customWidth="1"/>
    <x:col min="14" max="14" width="36" hidden="0" customWidth="1"/>
    <x:col min="15" max="15" width="32" hidden="0" customWidth="1"/>
    <x:col min="16" max="16" width="38" hidden="0" customWidth="1"/>
  </x:cols>
  <x:sheetData>
    <x:row r="1" ht="15" hidden="0" customHeight="1">
      <x:c r="A1" s="64" t="str">
        <x:v>Rule_ID</x:v>
      </x:c>
      <x:c r="B1" s="64" t="str">
        <x:v>Jurisdiction</x:v>
      </x:c>
      <x:c r="C1" s="64" t="str">
        <x:v>Legal_or_Admin_Source</x:v>
      </x:c>
      <x:c r="D1" s="64" t="str">
        <x:v>AIMRA_Layer</x:v>
      </x:c>
      <x:c r="E1" s="64" t="str">
        <x:v>Condition_Field</x:v>
      </x:c>
      <x:c r="F1" s="64" t="str">
        <x:v>Condition_Operator</x:v>
      </x:c>
      <x:c r="G1" s="64" t="str">
        <x:v>Threshold_or_Trigger</x:v>
      </x:c>
      <x:c r="H1" s="64" t="str">
        <x:v>Action</x:v>
      </x:c>
      <x:c r="I1" s="64" t="str">
        <x:v>Authority_or_Reviewer</x:v>
      </x:c>
      <x:c r="J1" s="64" t="str">
        <x:v>Evidence_Input</x:v>
      </x:c>
      <x:c r="K1" s="64" t="str">
        <x:v>Validation_Status</x:v>
      </x:c>
      <x:c r="L1" s="64" t="str">
        <x:v>Notes</x:v>
      </x:c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 ht="15" hidden="0" customHeight="1">
      <x:c r="A2" s="51" t="str">
        <x:v>SR-001</x:v>
      </x:c>
      <x:c r="B2" s="51" t="str">
        <x:v>Nigeria</x:v>
      </x:c>
      <x:c r="C2" s="51" t="str">
        <x:v>Nigerian Minerals and Mining Act 2007 / administrative compliance schedule</x:v>
      </x:c>
      <x:c r="D2" s="51" t="str">
        <x:v>Layer 3</x:v>
      </x:c>
      <x:c r="E2" s="51" t="str">
        <x:v>environmental_monitoring_submission_date</x:v>
      </x:c>
      <x:c r="F2" s="51" t="str">
        <x:v>&gt;</x:v>
      </x:c>
      <x:c r="G2" s="51" t="str">
        <x:v>end_of_quarter + 45 days</x:v>
      </x:c>
      <x:c r="H2" s="51" t="str">
        <x:v>Increase compliance_risk_score by 0.15; flag priority inspection; notify responsible authorities</x:v>
      </x:c>
      <x:c r="I2" s="51" t="str">
        <x:v>Human review panel + environmental authority</x:v>
      </x:c>
      <x:c r="J2" s="51" t="str">
        <x:v>Monitoring submission metadata</x:v>
      </x:c>
      <x:c r="K2" s="51" t="str">
        <x:v>Illustrative; requires legal validation</x:v>
      </x:c>
      <x:c r="L2" s="51" t="str">
        <x:v>Do not treat as legal advice; rule structure demonstrates machine-readable encoding.</x:v>
      </x:c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</x:row>
    <x:row r="3" ht="15" hidden="0" customHeight="1">
      <x:c r="A3" s="51" t="str">
        <x:v>SR-002</x:v>
      </x:c>
      <x:c r="B3" s="51" t="str">
        <x:v>Nigeria</x:v>
      </x:c>
      <x:c r="C3" s="51" t="str">
        <x:v>Royalty/revenue reconciliation procedure</x:v>
      </x:c>
      <x:c r="D3" s="51" t="str">
        <x:v>Layer 2 + Layer 3</x:v>
      </x:c>
      <x:c r="E3" s="51" t="str">
        <x:v>declared_production_volume</x:v>
      </x:c>
      <x:c r="F3" s="51" t="str">
        <x:v>&lt;</x:v>
      </x:c>
      <x:c r="G3" s="51" t="str">
        <x:v>estimated_production_volume × 0.85</x:v>
      </x:c>
      <x:c r="H3" s="51" t="str">
        <x:v>Trigger revenue anomaly detection; escalate to human review; log audit trail</x:v>
      </x:c>
      <x:c r="I3" s="51" t="str">
        <x:v>Revenue compliance officer</x:v>
      </x:c>
      <x:c r="J3" s="51" t="str">
        <x:v>Declared production, sensor/proxy production estimate</x:v>
      </x:c>
      <x:c r="K3" s="51" t="str">
        <x:v>Illustrative; requires regulator calibration</x:v>
      </x:c>
      <x:c r="L3" s="51" t="str">
        <x:v>Threshold can be adjusted after historical false-positive analysis.</x:v>
      </x:c>
      <x:c r="M3" s="51"/>
      <x:c r="N3" s="51"/>
      <x:c r="O3" s="51"/>
      <x:c r="P3" s="51"/>
      <x:c r="Q3" s="51"/>
      <x:c r="R3" s="51"/>
      <x:c r="S3" s="51"/>
      <x:c r="T3" s="51"/>
      <x:c r="U3" s="51"/>
      <x:c r="V3" s="51"/>
      <x:c r="W3" s="51"/>
      <x:c r="X3" s="51"/>
      <x:c r="Y3" s="51"/>
      <x:c r="Z3" s="51"/>
    </x:row>
    <x:row r="4" ht="15" hidden="0" customHeight="1">
      <x:c r="A4" s="51" t="str">
        <x:v>SR-003</x:v>
      </x:c>
      <x:c r="B4" s="51" t="str">
        <x:v>South Africa</x:v>
      </x:c>
      <x:c r="C4" s="51" t="str">
        <x:v>Mining Charter / DMRE compliance determination</x:v>
      </x:c>
      <x:c r="D4" s="51" t="str">
        <x:v>Layer 3</x:v>
      </x:c>
      <x:c r="E4" s="51" t="str">
        <x:v>compliance_case_age_days</x:v>
      </x:c>
      <x:c r="F4" s="51" t="str">
        <x:v>&gt;</x:v>
      </x:c>
      <x:c r="G4" s="51" t="str">
        <x:v>180 days</x:v>
      </x:c>
      <x:c r="H4" s="51" t="str">
        <x:v>Flag delayed enforcement case; prioritise legal review</x:v>
      </x:c>
      <x:c r="I4" s="51" t="str">
        <x:v>DMRE compliance unit</x:v>
      </x:c>
      <x:c r="J4" s="51" t="str">
        <x:v>Case register timestamps</x:v>
      </x:c>
      <x:c r="K4" s="51" t="str">
        <x:v>Draft/proxy</x:v>
      </x:c>
      <x:c r="L4" s="51" t="str">
        <x:v>Used to reduce regulatory latency.</x:v>
      </x:c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 ht="15" hidden="0" customHeight="1">
      <x:c r="A5" s="51" t="str">
        <x:v>SR-004</x:v>
      </x:c>
      <x:c r="B5" s="51" t="str">
        <x:v>Generic AIMRA</x:v>
      </x:c>
      <x:c r="C5" s="51" t="str">
        <x:v>Layer 4 accountability protocol</x:v>
      </x:c>
      <x:c r="D5" s="51" t="str">
        <x:v>Layer 4</x:v>
      </x:c>
      <x:c r="E5" s="51" t="str">
        <x:v>AI_decision_impact_level</x:v>
      </x:c>
      <x:c r="F5" s="51" t="str">
        <x:v>=</x:v>
      </x:c>
      <x:c r="G5" s="51" t="str">
        <x:v>High stakes</x:v>
      </x:c>
      <x:c r="H5" s="51" t="str">
        <x:v>Require human review before final regulatory action</x:v>
      </x:c>
      <x:c r="I5" s="51" t="str">
        <x:v>Human Review Panel</x:v>
      </x:c>
      <x:c r="J5" s="51" t="str">
        <x:v>AI output, explanation record, legal rule match</x:v>
      </x:c>
      <x:c r="K5" s="51" t="str">
        <x:v>Ready as governance requirement</x:v>
      </x:c>
      <x:c r="L5" s="51" t="str">
        <x:v>Applies to concession grants, enforcement action, or penalty issuance.</x:v>
      </x:c>
      <x:c r="M5" s="51"/>
      <x:c r="N5" s="51"/>
      <x:c r="O5" s="51"/>
      <x:c r="P5" s="51"/>
      <x:c r="Q5" s="51"/>
      <x:c r="R5" s="51"/>
      <x:c r="S5" s="51"/>
      <x:c r="T5" s="51"/>
      <x:c r="U5" s="51"/>
      <x:c r="V5" s="51"/>
      <x:c r="W5" s="51"/>
      <x:c r="X5" s="51"/>
      <x:c r="Y5" s="51"/>
      <x:c r="Z5" s="51"/>
    </x:row>
    <x:row r="6" ht="15" hidden="0" customHeight="1">
      <x:c r="A6" s="51" t="str">
        <x:v>SR-005</x:v>
      </x:c>
      <x:c r="B6" s="51" t="str">
        <x:v>Generic AIMRA</x:v>
      </x:c>
      <x:c r="C6" s="51" t="str">
        <x:v>Audit trail protocol</x:v>
      </x:c>
      <x:c r="D6" s="51" t="str">
        <x:v>Layer 4</x:v>
      </x:c>
      <x:c r="E6" s="51" t="str">
        <x:v>audit_log_completeness</x:v>
      </x:c>
      <x:c r="F6" s="51" t="str">
        <x:v>&lt;</x:v>
      </x:c>
      <x:c r="G6" s="51" t="str">
        <x:v>100% for high-stakes action</x:v>
      </x:c>
      <x:c r="H6" s="51" t="str">
        <x:v>Block finalisation until missing fields are completed or exception is approved</x:v>
      </x:c>
      <x:c r="I6" s="51" t="str">
        <x:v>Independent ethics/audit officer</x:v>
      </x:c>
      <x:c r="J6" s="51" t="str">
        <x:v>Audit log metadata</x:v>
      </x:c>
      <x:c r="K6" s="51" t="str">
        <x:v>Ready as control rule</x:v>
      </x:c>
      <x:c r="L6" s="51" t="str">
        <x:v>Supports AAI measurement.</x:v>
      </x:c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</x:row>
    <x:row r="7" ht="15" hidden="0" customHeight="1">
      <x:c r="A7" s="51"/>
      <x:c r="B7" s="51"/>
      <x:c r="C7" s="51"/>
      <x:c r="D7" s="51"/>
      <x:c r="E7" s="51"/>
      <x:c r="F7" s="51"/>
      <x:c r="G7" s="51"/>
      <x:c r="H7" s="51"/>
      <x:c r="I7" s="51"/>
      <x:c r="J7" s="51"/>
      <x:c r="K7" s="51"/>
      <x:c r="L7" s="51"/>
      <x:c r="M7" s="51"/>
      <x:c r="N7" s="51"/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</x:row>
    <x:row r="8" ht="15" hidden="0" customHeight="1">
      <x:c r="A8" s="51"/>
      <x:c r="B8" s="51"/>
      <x:c r="C8" s="51"/>
      <x:c r="D8" s="51"/>
      <x:c r="E8" s="51"/>
      <x:c r="F8" s="51"/>
      <x:c r="G8" s="51"/>
      <x:c r="H8" s="51"/>
      <x:c r="I8" s="51"/>
      <x:c r="J8" s="51"/>
      <x:c r="K8" s="51"/>
      <x:c r="L8" s="51"/>
      <x:c r="M8" s="51"/>
      <x:c r="N8" s="51"/>
      <x:c r="O8" s="51"/>
      <x:c r="P8" s="51"/>
      <x:c r="Q8" s="51"/>
      <x:c r="R8" s="51"/>
      <x:c r="S8" s="51"/>
      <x:c r="T8" s="51"/>
      <x:c r="U8" s="51"/>
      <x:c r="V8" s="51"/>
      <x:c r="W8" s="51"/>
      <x:c r="X8" s="51"/>
      <x:c r="Y8" s="51"/>
      <x:c r="Z8" s="51"/>
    </x:row>
    <x:row r="9" ht="15" hidden="0" customHeight="1">
      <x:c r="A9" s="51"/>
      <x:c r="B9" s="51"/>
      <x:c r="C9" s="51"/>
      <x:c r="D9" s="51"/>
      <x:c r="E9" s="51"/>
      <x:c r="F9" s="51"/>
      <x:c r="G9" s="51"/>
      <x:c r="H9" s="51"/>
      <x:c r="I9" s="51"/>
      <x:c r="J9" s="51"/>
      <x:c r="K9" s="51"/>
      <x:c r="L9" s="51"/>
      <x:c r="M9" s="51"/>
      <x:c r="N9" s="51"/>
      <x:c r="O9" s="51"/>
      <x:c r="P9" s="51"/>
      <x:c r="Q9" s="51"/>
      <x:c r="R9" s="51"/>
      <x:c r="S9" s="51"/>
      <x:c r="T9" s="51"/>
      <x:c r="U9" s="51"/>
      <x:c r="V9" s="51"/>
      <x:c r="W9" s="51"/>
      <x:c r="X9" s="51"/>
      <x:c r="Y9" s="51"/>
      <x:c r="Z9" s="51"/>
    </x:row>
    <x:row r="10" ht="15" hidden="0" customHeight="1">
      <x:c r="A10" s="51"/>
      <x:c r="B10" s="51"/>
      <x:c r="C10" s="51"/>
      <x:c r="D10" s="51"/>
      <x:c r="E10" s="51"/>
      <x:c r="F10" s="51"/>
      <x:c r="G10" s="51"/>
      <x:c r="H10" s="51"/>
      <x:c r="I10" s="51"/>
      <x:c r="J10" s="51"/>
      <x:c r="K10" s="51"/>
      <x:c r="L10" s="51"/>
      <x:c r="M10" s="51"/>
      <x:c r="N10" s="51"/>
      <x:c r="O10" s="51"/>
      <x:c r="P10" s="51"/>
      <x:c r="Q10" s="51"/>
      <x:c r="R10" s="51"/>
      <x:c r="S10" s="51"/>
      <x:c r="T10" s="51"/>
      <x:c r="U10" s="51"/>
      <x:c r="V10" s="51"/>
      <x:c r="W10" s="51"/>
      <x:c r="X10" s="51"/>
      <x:c r="Y10" s="51"/>
      <x:c r="Z10" s="51"/>
    </x:row>
    <x:row r="11" ht="15" hidden="0" customHeight="1">
      <x:c r="A11" s="51"/>
      <x:c r="B11" s="51"/>
      <x:c r="C11" s="51"/>
      <x:c r="D11" s="51"/>
      <x:c r="E11" s="51"/>
      <x:c r="F11" s="51"/>
      <x:c r="G11" s="51"/>
      <x:c r="H11" s="51"/>
      <x:c r="I11" s="51"/>
      <x:c r="J11" s="51"/>
      <x:c r="K11" s="51"/>
      <x:c r="L11" s="51"/>
      <x:c r="M11" s="51"/>
      <x:c r="N11" s="51"/>
      <x:c r="O11" s="51"/>
      <x:c r="P11" s="51"/>
      <x:c r="Q11" s="51"/>
      <x:c r="R11" s="51"/>
      <x:c r="S11" s="51"/>
      <x:c r="T11" s="51"/>
      <x:c r="U11" s="51"/>
      <x:c r="V11" s="51"/>
      <x:c r="W11" s="51"/>
      <x:c r="X11" s="51"/>
      <x:c r="Y11" s="51"/>
      <x:c r="Z11" s="51"/>
    </x:row>
    <x:row r="12" ht="15" hidden="0" customHeight="1">
      <x:c r="A12" s="51"/>
      <x:c r="B12" s="51"/>
      <x:c r="C12" s="51"/>
      <x:c r="D12" s="51"/>
      <x:c r="E12" s="51"/>
      <x:c r="F12" s="51"/>
      <x:c r="G12" s="51"/>
      <x:c r="H12" s="51"/>
      <x:c r="I12" s="51"/>
      <x:c r="J12" s="51"/>
      <x:c r="K12" s="51"/>
      <x:c r="L12" s="51"/>
      <x:c r="M12" s="51"/>
      <x:c r="N12" s="51"/>
      <x:c r="O12" s="51"/>
      <x:c r="P12" s="51"/>
      <x:c r="Q12" s="51"/>
      <x:c r="R12" s="51"/>
      <x:c r="S12" s="51"/>
      <x:c r="T12" s="51"/>
      <x:c r="U12" s="51"/>
      <x:c r="V12" s="51"/>
      <x:c r="W12" s="51"/>
      <x:c r="X12" s="51"/>
      <x:c r="Y12" s="51"/>
      <x:c r="Z12" s="51"/>
    </x:row>
    <x:row r="13" ht="15" hidden="0" customHeight="1">
      <x:c r="A13" s="51"/>
      <x:c r="B13" s="51"/>
      <x:c r="C13" s="51"/>
      <x:c r="D13" s="51"/>
      <x:c r="E13" s="51"/>
      <x:c r="F13" s="51"/>
      <x:c r="G13" s="51"/>
      <x:c r="H13" s="51"/>
      <x:c r="I13" s="51"/>
      <x:c r="J13" s="51"/>
      <x:c r="K13" s="51"/>
      <x:c r="L13" s="51"/>
      <x:c r="M13" s="51"/>
      <x:c r="N13" s="51"/>
      <x:c r="O13" s="51"/>
      <x:c r="P13" s="51"/>
      <x:c r="Q13" s="51"/>
      <x:c r="R13" s="51"/>
      <x:c r="S13" s="51"/>
      <x:c r="T13" s="51"/>
      <x:c r="U13" s="51"/>
      <x:c r="V13" s="51"/>
      <x:c r="W13" s="51"/>
      <x:c r="X13" s="51"/>
      <x:c r="Y13" s="51"/>
      <x:c r="Z13" s="51"/>
    </x:row>
    <x:row r="14" ht="15" hidden="0" customHeight="1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  <x:c r="O14" s="51"/>
      <x:c r="P14" s="51"/>
      <x:c r="Q14" s="51"/>
      <x:c r="R14" s="51"/>
      <x:c r="S14" s="51"/>
      <x:c r="T14" s="51"/>
      <x:c r="U14" s="51"/>
      <x:c r="V14" s="51"/>
      <x:c r="W14" s="51"/>
      <x:c r="X14" s="51"/>
      <x:c r="Y14" s="51"/>
      <x:c r="Z14" s="51"/>
    </x:row>
    <x:row r="15" ht="15" hidden="0" customHeight="1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  <x:c r="P15" s="51"/>
      <x:c r="Q15" s="51"/>
      <x:c r="R15" s="51"/>
      <x:c r="S15" s="51"/>
      <x:c r="T15" s="51"/>
      <x:c r="U15" s="51"/>
      <x:c r="V15" s="51"/>
      <x:c r="W15" s="51"/>
      <x:c r="X15" s="51"/>
      <x:c r="Y15" s="51"/>
      <x:c r="Z15" s="51"/>
    </x:row>
    <x:row r="16" ht="15" hidden="0" customHeight="1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  <x:c r="O16" s="51"/>
      <x:c r="P16" s="51"/>
      <x:c r="Q16" s="51"/>
      <x:c r="R16" s="51"/>
      <x:c r="S16" s="51"/>
      <x:c r="T16" s="51"/>
      <x:c r="U16" s="51"/>
      <x:c r="V16" s="51"/>
      <x:c r="W16" s="51"/>
      <x:c r="X16" s="51"/>
      <x:c r="Y16" s="51"/>
      <x:c r="Z16" s="51"/>
    </x:row>
    <x:row r="17" ht="15" hidden="0" customHeight="1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  <x:c r="O17" s="51"/>
      <x:c r="P17" s="51"/>
      <x:c r="Q17" s="51"/>
      <x:c r="R17" s="51"/>
      <x:c r="S17" s="51"/>
      <x:c r="T17" s="51"/>
      <x:c r="U17" s="51"/>
      <x:c r="V17" s="51"/>
      <x:c r="W17" s="51"/>
      <x:c r="X17" s="51"/>
      <x:c r="Y17" s="51"/>
      <x:c r="Z17" s="51"/>
    </x:row>
    <x:row r="18" ht="15" hidden="0" customHeight="1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  <x:c r="O18" s="51"/>
      <x:c r="P18" s="51"/>
      <x:c r="Q18" s="51"/>
      <x:c r="R18" s="51"/>
      <x:c r="S18" s="51"/>
      <x:c r="T18" s="51"/>
      <x:c r="U18" s="51"/>
      <x:c r="V18" s="51"/>
      <x:c r="W18" s="51"/>
      <x:c r="X18" s="51"/>
      <x:c r="Y18" s="51"/>
      <x:c r="Z18" s="51"/>
    </x:row>
    <x:row r="19" ht="15" hidden="0" customHeight="1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  <x:c r="O19" s="51"/>
      <x:c r="P19" s="51"/>
      <x:c r="Q19" s="51"/>
      <x:c r="R19" s="51"/>
      <x:c r="S19" s="51"/>
      <x:c r="T19" s="51"/>
      <x:c r="U19" s="51"/>
      <x:c r="V19" s="51"/>
      <x:c r="W19" s="51"/>
      <x:c r="X19" s="51"/>
      <x:c r="Y19" s="51"/>
      <x:c r="Z19" s="51"/>
    </x:row>
    <x:row r="20" ht="15" hidden="0" customHeight="1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  <x:c r="P20" s="51"/>
      <x:c r="Q20" s="51"/>
      <x:c r="R20" s="51"/>
      <x:c r="S20" s="51"/>
      <x:c r="T20" s="51"/>
      <x:c r="U20" s="51"/>
      <x:c r="V20" s="51"/>
      <x:c r="W20" s="51"/>
      <x:c r="X20" s="51"/>
      <x:c r="Y20" s="51"/>
      <x:c r="Z20" s="51"/>
    </x:row>
    <x:row r="21" ht="15" hidden="0" customHeight="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  <x:c r="P21" s="51"/>
      <x:c r="Q21" s="51"/>
      <x:c r="R21" s="51"/>
      <x:c r="S21" s="51"/>
      <x:c r="T21" s="51"/>
      <x:c r="U21" s="51"/>
      <x:c r="V21" s="51"/>
      <x:c r="W21" s="51"/>
      <x:c r="X21" s="51"/>
      <x:c r="Y21" s="51"/>
      <x:c r="Z21" s="51"/>
    </x:row>
    <x:row r="22" ht="15" hidden="0" customHeight="1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  <x:c r="P22" s="51"/>
      <x:c r="Q22" s="51"/>
      <x:c r="R22" s="51"/>
      <x:c r="S22" s="51"/>
      <x:c r="T22" s="51"/>
      <x:c r="U22" s="51"/>
      <x:c r="V22" s="51"/>
      <x:c r="W22" s="51"/>
      <x:c r="X22" s="51"/>
      <x:c r="Y22" s="51"/>
      <x:c r="Z22" s="51"/>
    </x:row>
    <x:row r="23" ht="15" hidden="0" customHeight="1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  <x:c r="P23" s="51"/>
      <x:c r="Q23" s="51"/>
      <x:c r="R23" s="51"/>
      <x:c r="S23" s="51"/>
      <x:c r="T23" s="51"/>
      <x:c r="U23" s="51"/>
      <x:c r="V23" s="51"/>
      <x:c r="W23" s="51"/>
      <x:c r="X23" s="51"/>
      <x:c r="Y23" s="51"/>
      <x:c r="Z23" s="51"/>
    </x:row>
    <x:row r="24" ht="15" hidden="0" customHeight="1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  <x:c r="P24" s="51"/>
      <x:c r="Q24" s="51"/>
      <x:c r="R24" s="51"/>
      <x:c r="S24" s="51"/>
      <x:c r="T24" s="51"/>
      <x:c r="U24" s="51"/>
      <x:c r="V24" s="51"/>
      <x:c r="W24" s="51"/>
      <x:c r="X24" s="51"/>
      <x:c r="Y24" s="51"/>
      <x:c r="Z24" s="51"/>
    </x:row>
    <x:row r="25" ht="15" hidden="0" customHeight="1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  <x:c r="P25" s="51"/>
      <x:c r="Q25" s="51"/>
      <x:c r="R25" s="51"/>
      <x:c r="S25" s="51"/>
      <x:c r="T25" s="51"/>
      <x:c r="U25" s="51"/>
      <x:c r="V25" s="51"/>
      <x:c r="W25" s="51"/>
      <x:c r="X25" s="51"/>
      <x:c r="Y25" s="51"/>
      <x:c r="Z25" s="51"/>
    </x:row>
    <x:row r="26" ht="15" hidden="0" customHeight="1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  <x:c r="P26" s="51"/>
      <x:c r="Q26" s="51"/>
      <x:c r="R26" s="51"/>
      <x:c r="S26" s="51"/>
      <x:c r="T26" s="51"/>
      <x:c r="U26" s="51"/>
      <x:c r="V26" s="51"/>
      <x:c r="W26" s="51"/>
      <x:c r="X26" s="51"/>
      <x:c r="Y26" s="51"/>
      <x:c r="Z26" s="51"/>
    </x:row>
    <x:row r="27" ht="15" hidden="0" customHeight="1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  <x:c r="P27" s="51"/>
      <x:c r="Q27" s="51"/>
      <x:c r="R27" s="51"/>
      <x:c r="S27" s="51"/>
      <x:c r="T27" s="51"/>
      <x:c r="U27" s="51"/>
      <x:c r="V27" s="51"/>
      <x:c r="W27" s="51"/>
      <x:c r="X27" s="51"/>
      <x:c r="Y27" s="51"/>
      <x:c r="Z27" s="51"/>
    </x:row>
    <x:row r="28" ht="15" hidden="0" customHeight="1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  <x:c r="P28" s="51"/>
      <x:c r="Q28" s="51"/>
      <x:c r="R28" s="51"/>
      <x:c r="S28" s="51"/>
      <x:c r="T28" s="51"/>
      <x:c r="U28" s="51"/>
      <x:c r="V28" s="51"/>
      <x:c r="W28" s="51"/>
      <x:c r="X28" s="51"/>
      <x:c r="Y28" s="51"/>
      <x:c r="Z28" s="51"/>
    </x:row>
    <x:row r="29" ht="15" hidden="0" customHeight="1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  <x:c r="P29" s="51"/>
      <x:c r="Q29" s="51"/>
      <x:c r="R29" s="51"/>
      <x:c r="S29" s="51"/>
      <x:c r="T29" s="51"/>
      <x:c r="U29" s="51"/>
      <x:c r="V29" s="51"/>
      <x:c r="W29" s="51"/>
      <x:c r="X29" s="51"/>
      <x:c r="Y29" s="51"/>
      <x:c r="Z29" s="51"/>
    </x:row>
    <x:row r="30" ht="15" hidden="0" customHeight="1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  <x:c r="P30" s="51"/>
      <x:c r="Q30" s="51"/>
      <x:c r="R30" s="51"/>
      <x:c r="S30" s="51"/>
      <x:c r="T30" s="51"/>
      <x:c r="U30" s="51"/>
      <x:c r="V30" s="51"/>
      <x:c r="W30" s="51"/>
      <x:c r="X30" s="51"/>
      <x:c r="Y30" s="51"/>
      <x:c r="Z30" s="51"/>
    </x:row>
    <x:row r="31" ht="15" hidden="0" customHeight="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  <x:c r="P31" s="51"/>
      <x:c r="Q31" s="51"/>
      <x:c r="R31" s="51"/>
      <x:c r="S31" s="51"/>
      <x:c r="T31" s="51"/>
      <x:c r="U31" s="51"/>
      <x:c r="V31" s="51"/>
      <x:c r="W31" s="51"/>
      <x:c r="X31" s="51"/>
      <x:c r="Y31" s="51"/>
      <x:c r="Z31" s="51"/>
    </x:row>
    <x:row r="32" ht="15" hidden="0" customHeight="1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  <x:c r="P32" s="51"/>
      <x:c r="Q32" s="51"/>
      <x:c r="R32" s="51"/>
      <x:c r="S32" s="51"/>
      <x:c r="T32" s="51"/>
      <x:c r="U32" s="51"/>
      <x:c r="V32" s="51"/>
      <x:c r="W32" s="51"/>
      <x:c r="X32" s="51"/>
      <x:c r="Y32" s="51"/>
      <x:c r="Z32" s="51"/>
    </x:row>
    <x:row r="33" ht="15" hidden="0" customHeight="1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  <x:c r="P33" s="51"/>
      <x:c r="Q33" s="51"/>
      <x:c r="R33" s="51"/>
      <x:c r="S33" s="51"/>
      <x:c r="T33" s="51"/>
      <x:c r="U33" s="51"/>
      <x:c r="V33" s="51"/>
      <x:c r="W33" s="51"/>
      <x:c r="X33" s="51"/>
      <x:c r="Y33" s="51"/>
      <x:c r="Z33" s="51"/>
    </x:row>
    <x:row r="34" ht="15" hidden="0" customHeight="1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  <x:c r="P34" s="51"/>
      <x:c r="Q34" s="51"/>
      <x:c r="R34" s="51"/>
      <x:c r="S34" s="51"/>
      <x:c r="T34" s="51"/>
      <x:c r="U34" s="51"/>
      <x:c r="V34" s="51"/>
      <x:c r="W34" s="51"/>
      <x:c r="X34" s="51"/>
      <x:c r="Y34" s="51"/>
      <x:c r="Z34" s="51"/>
    </x:row>
    <x:row r="35" ht="15" hidden="0" customHeight="1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  <x:c r="P35" s="51"/>
      <x:c r="Q35" s="51"/>
      <x:c r="R35" s="51"/>
      <x:c r="S35" s="51"/>
      <x:c r="T35" s="51"/>
      <x:c r="U35" s="51"/>
      <x:c r="V35" s="51"/>
      <x:c r="W35" s="51"/>
      <x:c r="X35" s="51"/>
      <x:c r="Y35" s="51"/>
      <x:c r="Z35" s="51"/>
    </x:row>
    <x:row r="36" ht="15" hidden="0" customHeight="1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  <x:c r="P36" s="51"/>
      <x:c r="Q36" s="51"/>
      <x:c r="R36" s="51"/>
      <x:c r="S36" s="51"/>
      <x:c r="T36" s="51"/>
      <x:c r="U36" s="51"/>
      <x:c r="V36" s="51"/>
      <x:c r="W36" s="51"/>
      <x:c r="X36" s="51"/>
      <x:c r="Y36" s="51"/>
      <x:c r="Z36" s="51"/>
    </x:row>
    <x:row r="37" ht="15" hidden="0" customHeight="1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  <x:c r="P37" s="51"/>
      <x:c r="Q37" s="51"/>
      <x:c r="R37" s="51"/>
      <x:c r="S37" s="51"/>
      <x:c r="T37" s="51"/>
      <x:c r="U37" s="51"/>
      <x:c r="V37" s="51"/>
      <x:c r="W37" s="51"/>
      <x:c r="X37" s="51"/>
      <x:c r="Y37" s="51"/>
      <x:c r="Z37" s="51"/>
    </x:row>
    <x:row r="38" ht="15" hidden="0" customHeight="1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  <x:c r="P38" s="51"/>
      <x:c r="Q38" s="51"/>
      <x:c r="R38" s="51"/>
      <x:c r="S38" s="51"/>
      <x:c r="T38" s="51"/>
      <x:c r="U38" s="51"/>
      <x:c r="V38" s="51"/>
      <x:c r="W38" s="51"/>
      <x:c r="X38" s="51"/>
      <x:c r="Y38" s="51"/>
      <x:c r="Z38" s="51"/>
    </x:row>
    <x:row r="39" ht="15" hidden="0" customHeight="1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  <x:c r="P39" s="51"/>
      <x:c r="Q39" s="51"/>
      <x:c r="R39" s="51"/>
      <x:c r="S39" s="51"/>
      <x:c r="T39" s="51"/>
      <x:c r="U39" s="51"/>
      <x:c r="V39" s="51"/>
      <x:c r="W39" s="51"/>
      <x:c r="X39" s="51"/>
      <x:c r="Y39" s="51"/>
      <x:c r="Z39" s="51"/>
    </x:row>
    <x:row r="40" ht="15" hidden="0" customHeight="1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  <x:c r="P40" s="51"/>
      <x:c r="Q40" s="51"/>
      <x:c r="R40" s="51"/>
      <x:c r="S40" s="51"/>
      <x:c r="T40" s="51"/>
      <x:c r="U40" s="51"/>
      <x:c r="V40" s="51"/>
      <x:c r="W40" s="51"/>
      <x:c r="X40" s="51"/>
      <x:c r="Y40" s="51"/>
      <x:c r="Z40" s="51"/>
    </x:row>
    <x:row r="41" ht="15" hidden="0" customHeight="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  <x:c r="P41" s="51"/>
      <x:c r="Q41" s="51"/>
      <x:c r="R41" s="51"/>
      <x:c r="S41" s="51"/>
      <x:c r="T41" s="51"/>
      <x:c r="U41" s="51"/>
      <x:c r="V41" s="51"/>
      <x:c r="W41" s="51"/>
      <x:c r="X41" s="51"/>
      <x:c r="Y41" s="51"/>
      <x:c r="Z41" s="51"/>
    </x:row>
    <x:row r="42" ht="15" hidden="0" customHeight="1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  <x:c r="P42" s="51"/>
      <x:c r="Q42" s="51"/>
      <x:c r="R42" s="51"/>
      <x:c r="S42" s="51"/>
      <x:c r="T42" s="51"/>
      <x:c r="U42" s="51"/>
      <x:c r="V42" s="51"/>
      <x:c r="W42" s="51"/>
      <x:c r="X42" s="51"/>
      <x:c r="Y42" s="51"/>
      <x:c r="Z42" s="51"/>
    </x:row>
    <x:row r="43" ht="15" hidden="0" customHeight="1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  <x:c r="P43" s="51"/>
      <x:c r="Q43" s="51"/>
      <x:c r="R43" s="51"/>
      <x:c r="S43" s="51"/>
      <x:c r="T43" s="51"/>
      <x:c r="U43" s="51"/>
      <x:c r="V43" s="51"/>
      <x:c r="W43" s="51"/>
      <x:c r="X43" s="51"/>
      <x:c r="Y43" s="51"/>
      <x:c r="Z43" s="51"/>
    </x:row>
    <x:row r="44" ht="15" hidden="0" customHeight="1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  <x:c r="P44" s="51"/>
      <x:c r="Q44" s="51"/>
      <x:c r="R44" s="51"/>
      <x:c r="S44" s="51"/>
      <x:c r="T44" s="51"/>
      <x:c r="U44" s="51"/>
      <x:c r="V44" s="51"/>
      <x:c r="W44" s="51"/>
      <x:c r="X44" s="51"/>
      <x:c r="Y44" s="51"/>
      <x:c r="Z44" s="51"/>
    </x:row>
    <x:row r="45" ht="15" hidden="0" customHeight="1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  <x:c r="P45" s="51"/>
      <x:c r="Q45" s="51"/>
      <x:c r="R45" s="51"/>
      <x:c r="S45" s="51"/>
      <x:c r="T45" s="51"/>
      <x:c r="U45" s="51"/>
      <x:c r="V45" s="51"/>
      <x:c r="W45" s="51"/>
      <x:c r="X45" s="51"/>
      <x:c r="Y45" s="51"/>
      <x:c r="Z45" s="51"/>
    </x:row>
    <x:row r="46" ht="15" hidden="0" customHeight="1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  <x:c r="P46" s="51"/>
      <x:c r="Q46" s="51"/>
      <x:c r="R46" s="51"/>
      <x:c r="S46" s="51"/>
      <x:c r="T46" s="51"/>
      <x:c r="U46" s="51"/>
      <x:c r="V46" s="51"/>
      <x:c r="W46" s="51"/>
      <x:c r="X46" s="51"/>
      <x:c r="Y46" s="51"/>
      <x:c r="Z46" s="51"/>
    </x:row>
    <x:row r="47" ht="15" hidden="0" customHeight="1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  <x:c r="P47" s="51"/>
      <x:c r="Q47" s="51"/>
      <x:c r="R47" s="51"/>
      <x:c r="S47" s="51"/>
      <x:c r="T47" s="51"/>
      <x:c r="U47" s="51"/>
      <x:c r="V47" s="51"/>
      <x:c r="W47" s="51"/>
      <x:c r="X47" s="51"/>
      <x:c r="Y47" s="51"/>
      <x:c r="Z47" s="51"/>
    </x:row>
    <x:row r="48" ht="15" hidden="0" customHeight="1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  <x:c r="P48" s="51"/>
      <x:c r="Q48" s="51"/>
      <x:c r="R48" s="51"/>
      <x:c r="S48" s="51"/>
      <x:c r="T48" s="51"/>
      <x:c r="U48" s="51"/>
      <x:c r="V48" s="51"/>
      <x:c r="W48" s="51"/>
      <x:c r="X48" s="51"/>
      <x:c r="Y48" s="51"/>
      <x:c r="Z48" s="51"/>
    </x:row>
    <x:row r="49" ht="15" hidden="0" customHeight="1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  <x:c r="P49" s="51"/>
      <x:c r="Q49" s="51"/>
      <x:c r="R49" s="51"/>
      <x:c r="S49" s="51"/>
      <x:c r="T49" s="51"/>
      <x:c r="U49" s="51"/>
      <x:c r="V49" s="51"/>
      <x:c r="W49" s="51"/>
      <x:c r="X49" s="51"/>
      <x:c r="Y49" s="51"/>
      <x:c r="Z49" s="51"/>
    </x:row>
    <x:row r="50" ht="15" hidden="0" customHeight="1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  <x:c r="P50" s="51"/>
      <x:c r="Q50" s="51"/>
      <x:c r="R50" s="51"/>
      <x:c r="S50" s="51"/>
      <x:c r="T50" s="51"/>
      <x:c r="U50" s="51"/>
      <x:c r="V50" s="51"/>
      <x:c r="W50" s="51"/>
      <x:c r="X50" s="51"/>
      <x:c r="Y50" s="51"/>
      <x:c r="Z50" s="51"/>
    </x:row>
    <x:row r="51" ht="15" hidden="0" customHeight="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  <x:c r="O51" s="51"/>
      <x:c r="P51" s="51"/>
      <x:c r="Q51" s="51"/>
      <x:c r="R51" s="51"/>
      <x:c r="S51" s="51"/>
      <x:c r="T51" s="51"/>
      <x:c r="U51" s="51"/>
      <x:c r="V51" s="51"/>
      <x:c r="W51" s="51"/>
      <x:c r="X51" s="51"/>
      <x:c r="Y51" s="51"/>
      <x:c r="Z51" s="51"/>
    </x:row>
    <x:row r="52" ht="15" hidden="0" customHeight="1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  <x:c r="N52" s="51"/>
      <x:c r="O52" s="51"/>
      <x:c r="P52" s="51"/>
      <x:c r="Q52" s="51"/>
      <x:c r="R52" s="51"/>
      <x:c r="S52" s="51"/>
      <x:c r="T52" s="51"/>
      <x:c r="U52" s="51"/>
      <x:c r="V52" s="51"/>
      <x:c r="W52" s="51"/>
      <x:c r="X52" s="51"/>
      <x:c r="Y52" s="51"/>
      <x:c r="Z52" s="51"/>
    </x:row>
    <x:row r="53" ht="15" hidden="0" customHeight="1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  <x:c r="N53" s="51"/>
      <x:c r="O53" s="51"/>
      <x:c r="P53" s="51"/>
      <x:c r="Q53" s="51"/>
      <x:c r="R53" s="51"/>
      <x:c r="S53" s="51"/>
      <x:c r="T53" s="51"/>
      <x:c r="U53" s="51"/>
      <x:c r="V53" s="51"/>
      <x:c r="W53" s="51"/>
      <x:c r="X53" s="51"/>
      <x:c r="Y53" s="51"/>
      <x:c r="Z53" s="51"/>
    </x:row>
    <x:row r="54" ht="15" hidden="0" customHeight="1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  <x:c r="O54" s="51"/>
      <x:c r="P54" s="51"/>
      <x:c r="Q54" s="51"/>
      <x:c r="R54" s="51"/>
      <x:c r="S54" s="51"/>
      <x:c r="T54" s="51"/>
      <x:c r="U54" s="51"/>
      <x:c r="V54" s="51"/>
      <x:c r="W54" s="51"/>
      <x:c r="X54" s="51"/>
      <x:c r="Y54" s="51"/>
      <x:c r="Z54" s="51"/>
    </x:row>
    <x:row r="55" ht="15" hidden="0" customHeight="1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  <x:c r="O55" s="51"/>
      <x:c r="P55" s="51"/>
      <x:c r="Q55" s="51"/>
      <x:c r="R55" s="51"/>
      <x:c r="S55" s="51"/>
      <x:c r="T55" s="51"/>
      <x:c r="U55" s="51"/>
      <x:c r="V55" s="51"/>
      <x:c r="W55" s="51"/>
      <x:c r="X55" s="51"/>
      <x:c r="Y55" s="51"/>
      <x:c r="Z55" s="51"/>
    </x:row>
    <x:row r="56" ht="15" hidden="0" customHeight="1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  <x:c r="O56" s="51"/>
      <x:c r="P56" s="51"/>
      <x:c r="Q56" s="51"/>
      <x:c r="R56" s="51"/>
      <x:c r="S56" s="51"/>
      <x:c r="T56" s="51"/>
      <x:c r="U56" s="51"/>
      <x:c r="V56" s="51"/>
      <x:c r="W56" s="51"/>
      <x:c r="X56" s="51"/>
      <x:c r="Y56" s="51"/>
      <x:c r="Z56" s="51"/>
    </x:row>
    <x:row r="57" ht="15" hidden="0" customHeight="1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  <x:c r="O57" s="51"/>
      <x:c r="P57" s="51"/>
      <x:c r="Q57" s="51"/>
      <x:c r="R57" s="51"/>
      <x:c r="S57" s="51"/>
      <x:c r="T57" s="51"/>
      <x:c r="U57" s="51"/>
      <x:c r="V57" s="51"/>
      <x:c r="W57" s="51"/>
      <x:c r="X57" s="51"/>
      <x:c r="Y57" s="51"/>
      <x:c r="Z57" s="51"/>
    </x:row>
    <x:row r="58" ht="15" hidden="0" customHeight="1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  <x:c r="O58" s="51"/>
      <x:c r="P58" s="51"/>
      <x:c r="Q58" s="51"/>
      <x:c r="R58" s="51"/>
      <x:c r="S58" s="51"/>
      <x:c r="T58" s="51"/>
      <x:c r="U58" s="51"/>
      <x:c r="V58" s="51"/>
      <x:c r="W58" s="51"/>
      <x:c r="X58" s="51"/>
      <x:c r="Y58" s="51"/>
      <x:c r="Z58" s="51"/>
    </x:row>
    <x:row r="59" ht="15" hidden="0" customHeight="1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  <x:c r="O59" s="51"/>
      <x:c r="P59" s="51"/>
      <x:c r="Q59" s="51"/>
      <x:c r="R59" s="51"/>
      <x:c r="S59" s="51"/>
      <x:c r="T59" s="51"/>
      <x:c r="U59" s="51"/>
      <x:c r="V59" s="51"/>
      <x:c r="W59" s="51"/>
      <x:c r="X59" s="51"/>
      <x:c r="Y59" s="51"/>
      <x:c r="Z59" s="51"/>
    </x:row>
    <x:row r="60" ht="15" hidden="0" customHeight="1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  <x:c r="O60" s="51"/>
      <x:c r="P60" s="51"/>
      <x:c r="Q60" s="51"/>
      <x:c r="R60" s="51"/>
      <x:c r="S60" s="51"/>
      <x:c r="T60" s="51"/>
      <x:c r="U60" s="51"/>
      <x:c r="V60" s="51"/>
      <x:c r="W60" s="51"/>
      <x:c r="X60" s="51"/>
      <x:c r="Y60" s="51"/>
      <x:c r="Z60" s="51"/>
    </x:row>
  </x:sheetData>
  <x:pageMargins left="0.7" right="0.7" top="0.75" bottom="0.75" header="0.3" footer="0.3"/>
  <x:tableParts count="1">
    <x:tablePart xmlns:r="http://schemas.openxmlformats.org/officeDocument/2006/relationships" r:id="Rcfe60d9696374e5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18" hidden="0" customWidth="1"/>
    <x:col min="5" max="5" width="16" hidden="0" customWidth="1"/>
    <x:col min="6" max="6" width="18" hidden="0" customWidth="1"/>
    <x:col min="7" max="7" width="18" hidden="0" customWidth="1"/>
    <x:col min="8" max="8" width="20" hidden="0" customWidth="1"/>
    <x:col min="9" max="9" width="24" hidden="0" customWidth="1"/>
    <x:col min="10" max="10" width="32" hidden="0" customWidth="1"/>
    <x:col min="11" max="11" width="32" hidden="0" customWidth="1"/>
    <x:col min="12" max="12" width="32" hidden="0" customWidth="1"/>
    <x:col min="13" max="13" width="26" hidden="0" customWidth="1"/>
    <x:col min="14" max="14" width="36" hidden="0" customWidth="1"/>
    <x:col min="15" max="15" width="32" hidden="0" customWidth="1"/>
    <x:col min="16" max="16" width="38" hidden="0" customWidth="1"/>
  </x:cols>
  <x:sheetData>
    <x:row r="1" ht="15" hidden="0" customHeight="1">
      <x:c r="A1" s="64" t="str">
        <x:v>QC_ID</x:v>
      </x:c>
      <x:c r="B1" s="64" t="str">
        <x:v>Corpus_ID_or_Variable</x:v>
      </x:c>
      <x:c r="C1" s="64" t="str">
        <x:v>QC_Check</x:v>
      </x:c>
      <x:c r="D1" s="64" t="str">
        <x:v>Responsible_Person</x:v>
      </x:c>
      <x:c r="E1" s="64" t="str">
        <x:v>Frequency</x:v>
      </x:c>
      <x:c r="F1" s="64" t="str">
        <x:v>Pass_Criterion</x:v>
      </x:c>
      <x:c r="G1" s="64" t="str">
        <x:v>Evidence_File_or_Field</x:v>
      </x:c>
      <x:c r="H1" s="64" t="str">
        <x:v>Status</x:v>
      </x:c>
      <x:c r="I1" s="64" t="str">
        <x:v>Issue_or_Action</x:v>
      </x:c>
      <x:c r="J1" s="51"/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 ht="15" hidden="0" customHeight="1">
      <x:c r="A2" s="51" t="str">
        <x:v>QC-001</x:v>
      </x:c>
      <x:c r="B2" s="51" t="str">
        <x:v>All public sources</x:v>
      </x:c>
      <x:c r="C2" s="51" t="str">
        <x:v>Source retrieval log completed</x:v>
      </x:c>
      <x:c r="D2" s="51" t="str">
        <x:v>Data curator</x:v>
      </x:c>
      <x:c r="E2" s="51" t="str">
        <x:v>At extraction</x:v>
      </x:c>
      <x:c r="F2" s="51" t="str">
        <x:v>URL, title, date, and access date recorded</x:v>
      </x:c>
      <x:c r="G2" s="51" t="str">
        <x:v>Data_Access_Log</x:v>
      </x:c>
      <x:c r="H2" s="51" t="str">
        <x:v>Open</x:v>
      </x:c>
      <x:c r="I2" s="51" t="str">
        <x:v>Attach PDF filename only if redistribution permitted.</x:v>
      </x:c>
      <x:c r="J2" s="51"/>
      <x:c r="K2" s="51"/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</x:row>
    <x:row r="3" ht="15" hidden="0" customHeight="1">
      <x:c r="A3" s="51" t="str">
        <x:v>QC-002</x:v>
      </x:c>
      <x:c r="B3" s="51" t="str">
        <x:v>V-001 RLI_raw_days</x:v>
      </x:c>
      <x:c r="C3" s="51" t="str">
        <x:v>Date-pair validation</x:v>
      </x:c>
      <x:c r="D3" s="51" t="str">
        <x:v>Coder 1 + reviewer</x:v>
      </x:c>
      <x:c r="E3" s="51" t="str">
        <x:v>Each coding batch</x:v>
      </x:c>
      <x:c r="F3" s="51" t="str">
        <x:v>Event date and response date present for each case</x:v>
      </x:c>
      <x:c r="G3" s="51" t="str">
        <x:v>Case-level extraction sheet</x:v>
      </x:c>
      <x:c r="H3" s="51" t="str">
        <x:v>Pending Stage 2</x:v>
      </x:c>
      <x:c r="I3" s="51" t="str">
        <x:v>Use proxy only where case logs unavailable.</x:v>
      </x:c>
      <x:c r="J3" s="51"/>
      <x:c r="K3" s="51"/>
      <x:c r="L3" s="51"/>
      <x:c r="M3" s="51"/>
      <x:c r="N3" s="51"/>
      <x:c r="O3" s="51"/>
      <x:c r="P3" s="51"/>
      <x:c r="Q3" s="51"/>
      <x:c r="R3" s="51"/>
      <x:c r="S3" s="51"/>
      <x:c r="T3" s="51"/>
      <x:c r="U3" s="51"/>
      <x:c r="V3" s="51"/>
      <x:c r="W3" s="51"/>
      <x:c r="X3" s="51"/>
      <x:c r="Y3" s="51"/>
      <x:c r="Z3" s="51"/>
    </x:row>
    <x:row r="4" ht="15" hidden="0" customHeight="1">
      <x:c r="A4" s="51" t="str">
        <x:v>QC-003</x:v>
      </x:c>
      <x:c r="B4" s="51" t="str">
        <x:v>V-003 CDR</x:v>
      </x:c>
      <x:c r="C4" s="51" t="str">
        <x:v>Numerator/denominator consistency</x:v>
      </x:c>
      <x:c r="D4" s="51" t="str">
        <x:v>Coder 1 + Coder 2</x:v>
      </x:c>
      <x:c r="E4" s="51" t="str">
        <x:v>Each jurisdiction</x:v>
      </x:c>
      <x:c r="F4" s="51" t="str">
        <x:v>Detected and estimated actual anomalies refer to same period and scope</x:v>
      </x:c>
      <x:c r="G4" s="51" t="str">
        <x:v>Annotation_Codebook + source extract</x:v>
      </x:c>
      <x:c r="H4" s="51" t="str">
        <x:v>Pending Stage 2</x:v>
      </x:c>
      <x:c r="I4" s="51" t="str">
        <x:v>Document denominator estimation method.</x:v>
      </x:c>
      <x:c r="J4" s="51"/>
      <x:c r="K4" s="51"/>
      <x:c r="L4" s="51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 ht="15" hidden="0" customHeight="1">
      <x:c r="A5" s="51" t="str">
        <x:v>QC-004</x:v>
      </x:c>
      <x:c r="B5" s="51" t="str">
        <x:v>V-006 RCS</x:v>
      </x:c>
      <x:c r="C5" s="51" t="str">
        <x:v>Proxy declaration</x:v>
      </x:c>
      <x:c r="D5" s="51" t="str">
        <x:v>Lead author</x:v>
      </x:c>
      <x:c r="E5" s="51" t="str">
        <x:v>Each table revision</x:v>
      </x:c>
      <x:c r="F5" s="51" t="str">
        <x:v>Proxy values clearly labelled and not presented as measured register data</x:v>
      </x:c>
      <x:c r="G5" s="51" t="str">
        <x:v>Metric_Input_Data</x:v>
      </x:c>
      <x:c r="H5" s="51" t="str">
        <x:v>Ready</x:v>
      </x:c>
      <x:c r="I5" s="51" t="str">
        <x:v>Maintain limitation statement.</x:v>
      </x:c>
      <x:c r="J5" s="51"/>
      <x:c r="K5" s="51"/>
      <x:c r="L5" s="51"/>
      <x:c r="M5" s="51"/>
      <x:c r="N5" s="51"/>
      <x:c r="O5" s="51"/>
      <x:c r="P5" s="51"/>
      <x:c r="Q5" s="51"/>
      <x:c r="R5" s="51"/>
      <x:c r="S5" s="51"/>
      <x:c r="T5" s="51"/>
      <x:c r="U5" s="51"/>
      <x:c r="V5" s="51"/>
      <x:c r="W5" s="51"/>
      <x:c r="X5" s="51"/>
      <x:c r="Y5" s="51"/>
      <x:c r="Z5" s="51"/>
    </x:row>
    <x:row r="6" ht="15" hidden="0" customHeight="1">
      <x:c r="A6" s="51" t="str">
        <x:v>QC-005</x:v>
      </x:c>
      <x:c r="B6" s="51" t="str">
        <x:v>V-007 AAI</x:v>
      </x:c>
      <x:c r="C6" s="51" t="str">
        <x:v>Subcomponent traceability</x:v>
      </x:c>
      <x:c r="D6" s="51" t="str">
        <x:v>Data curator</x:v>
      </x:c>
      <x:c r="E6" s="51" t="str">
        <x:v>Each revision</x:v>
      </x:c>
      <x:c r="F6" s="51" t="str">
        <x:v>ATC, EC, EOE assumptions recorded where AAI is estimated</x:v>
      </x:c>
      <x:c r="G6" s="51" t="str">
        <x:v>Annotation_Codebook</x:v>
      </x:c>
      <x:c r="H6" s="51" t="str">
        <x:v>Ready</x:v>
      </x:c>
      <x:c r="I6" s="51" t="str">
        <x:v>Stage 2 must collect actual audit logs.</x:v>
      </x:c>
      <x:c r="J6" s="51"/>
      <x:c r="K6" s="51"/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</x:row>
    <x:row r="7" ht="15" hidden="0" customHeight="1">
      <x:c r="A7" s="51" t="str">
        <x:v>QC-006</x:v>
      </x:c>
      <x:c r="B7" s="51" t="str">
        <x:v>All coded variables</x:v>
      </x:c>
      <x:c r="C7" s="51" t="str">
        <x:v>Double coding / reconciliation</x:v>
      </x:c>
      <x:c r="D7" s="51" t="str">
        <x:v>Two independent coders</x:v>
      </x:c>
      <x:c r="E7" s="51" t="str">
        <x:v>10–20% sample or all Stage 2 pilot data</x:v>
      </x:c>
      <x:c r="F7" s="51" t="str">
        <x:v>Cohen kappa ≥ 0.70 for categorical fields; absolute difference ≤ 10% for numeric proxies</x:v>
      </x:c>
      <x:c r="G7" s="51" t="str">
        <x:v>QC reconciliation log</x:v>
      </x:c>
      <x:c r="H7" s="51" t="str">
        <x:v>Planned</x:v>
      </x:c>
      <x:c r="I7" s="51" t="str">
        <x:v>Resolve disagreements by adjudication.</x:v>
      </x:c>
      <x:c r="J7" s="51"/>
      <x:c r="K7" s="51"/>
      <x:c r="L7" s="51"/>
      <x:c r="M7" s="51"/>
      <x:c r="N7" s="51"/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</x:row>
    <x:row r="8" ht="15" hidden="0" customHeight="1">
      <x:c r="A8" s="51" t="str">
        <x:v>QC-007</x:v>
      </x:c>
      <x:c r="B8" s="51" t="str">
        <x:v>All formulas</x:v>
      </x:c>
      <x:c r="C8" s="51" t="str">
        <x:v>Formula audit</x:v>
      </x:c>
      <x:c r="D8" s="51" t="str">
        <x:v>Lead author</x:v>
      </x:c>
      <x:c r="E8" s="51" t="str">
        <x:v>Before submission</x:v>
      </x:c>
      <x:c r="F8" s="51" t="str">
        <x:v>Workbook contains no formula-error tokens after final audit</x:v>
      </x:c>
      <x:c r="G8" s="51" t="str">
        <x:v>Workbook formula scan</x:v>
      </x:c>
      <x:c r="H8" s="51" t="str">
        <x:v>Ready</x:v>
      </x:c>
      <x:c r="I8" s="51" t="str">
        <x:v>Run before upload to GitHub/journal.</x:v>
      </x:c>
      <x:c r="J8" s="51"/>
      <x:c r="K8" s="51"/>
      <x:c r="L8" s="51"/>
      <x:c r="M8" s="51"/>
      <x:c r="N8" s="51"/>
      <x:c r="O8" s="51"/>
      <x:c r="P8" s="51"/>
      <x:c r="Q8" s="51"/>
      <x:c r="R8" s="51"/>
      <x:c r="S8" s="51"/>
      <x:c r="T8" s="51"/>
      <x:c r="U8" s="51"/>
      <x:c r="V8" s="51"/>
      <x:c r="W8" s="51"/>
      <x:c r="X8" s="51"/>
      <x:c r="Y8" s="51"/>
      <x:c r="Z8" s="51"/>
    </x:row>
    <x:row r="9" ht="15" hidden="0" customHeight="1">
      <x:c r="A9" s="51" t="str">
        <x:v>QC-008</x:v>
      </x:c>
      <x:c r="B9" s="51" t="str">
        <x:v>Restricted records</x:v>
      </x:c>
      <x:c r="C9" s="51" t="str">
        <x:v>De-identification review</x:v>
      </x:c>
      <x:c r="D9" s="51" t="str">
        <x:v>Ethics/data manager</x:v>
      </x:c>
      <x:c r="E9" s="51" t="str">
        <x:v>Before sharing</x:v>
      </x:c>
      <x:c r="F9" s="51" t="str">
        <x:v>No names, licence numbers, personal identifiers, or confidential case text released</x:v>
      </x:c>
      <x:c r="G9" s="51" t="str">
        <x:v>GitHub release checklist</x:v>
      </x:c>
      <x:c r="H9" s="51" t="str">
        <x:v>Pending</x:v>
      </x:c>
      <x:c r="I9" s="51" t="str">
        <x:v>Share aggregate indicators or synthetic demonstration rows only.</x:v>
      </x:c>
      <x:c r="J9" s="51"/>
      <x:c r="K9" s="51"/>
      <x:c r="L9" s="51"/>
      <x:c r="M9" s="51"/>
      <x:c r="N9" s="51"/>
      <x:c r="O9" s="51"/>
      <x:c r="P9" s="51"/>
      <x:c r="Q9" s="51"/>
      <x:c r="R9" s="51"/>
      <x:c r="S9" s="51"/>
      <x:c r="T9" s="51"/>
      <x:c r="U9" s="51"/>
      <x:c r="V9" s="51"/>
      <x:c r="W9" s="51"/>
      <x:c r="X9" s="51"/>
      <x:c r="Y9" s="51"/>
      <x:c r="Z9" s="51"/>
    </x:row>
    <x:row r="10" ht="15" hidden="0" customHeight="1">
      <x:c r="A10" s="51"/>
      <x:c r="B10" s="51"/>
      <x:c r="C10" s="51"/>
      <x:c r="D10" s="51"/>
      <x:c r="E10" s="51"/>
      <x:c r="F10" s="51"/>
      <x:c r="G10" s="51"/>
      <x:c r="H10" s="51"/>
      <x:c r="I10" s="51"/>
      <x:c r="J10" s="51"/>
      <x:c r="K10" s="51"/>
      <x:c r="L10" s="51"/>
      <x:c r="M10" s="51"/>
      <x:c r="N10" s="51"/>
      <x:c r="O10" s="51"/>
      <x:c r="P10" s="51"/>
      <x:c r="Q10" s="51"/>
      <x:c r="R10" s="51"/>
      <x:c r="S10" s="51"/>
      <x:c r="T10" s="51"/>
      <x:c r="U10" s="51"/>
      <x:c r="V10" s="51"/>
      <x:c r="W10" s="51"/>
      <x:c r="X10" s="51"/>
      <x:c r="Y10" s="51"/>
      <x:c r="Z10" s="51"/>
    </x:row>
    <x:row r="11" ht="15" hidden="0" customHeight="1">
      <x:c r="A11" s="51"/>
      <x:c r="B11" s="51"/>
      <x:c r="C11" s="51"/>
      <x:c r="D11" s="51"/>
      <x:c r="E11" s="51"/>
      <x:c r="F11" s="51"/>
      <x:c r="G11" s="51"/>
      <x:c r="H11" s="51"/>
      <x:c r="I11" s="51"/>
      <x:c r="J11" s="51"/>
      <x:c r="K11" s="51"/>
      <x:c r="L11" s="51"/>
      <x:c r="M11" s="51"/>
      <x:c r="N11" s="51"/>
      <x:c r="O11" s="51"/>
      <x:c r="P11" s="51"/>
      <x:c r="Q11" s="51"/>
      <x:c r="R11" s="51"/>
      <x:c r="S11" s="51"/>
      <x:c r="T11" s="51"/>
      <x:c r="U11" s="51"/>
      <x:c r="V11" s="51"/>
      <x:c r="W11" s="51"/>
      <x:c r="X11" s="51"/>
      <x:c r="Y11" s="51"/>
      <x:c r="Z11" s="51"/>
    </x:row>
    <x:row r="12" ht="15" hidden="0" customHeight="1">
      <x:c r="A12" s="51"/>
      <x:c r="B12" s="51"/>
      <x:c r="C12" s="51"/>
      <x:c r="D12" s="51"/>
      <x:c r="E12" s="51"/>
      <x:c r="F12" s="51"/>
      <x:c r="G12" s="51"/>
      <x:c r="H12" s="51"/>
      <x:c r="I12" s="51"/>
      <x:c r="J12" s="51"/>
      <x:c r="K12" s="51"/>
      <x:c r="L12" s="51"/>
      <x:c r="M12" s="51"/>
      <x:c r="N12" s="51"/>
      <x:c r="O12" s="51"/>
      <x:c r="P12" s="51"/>
      <x:c r="Q12" s="51"/>
      <x:c r="R12" s="51"/>
      <x:c r="S12" s="51"/>
      <x:c r="T12" s="51"/>
      <x:c r="U12" s="51"/>
      <x:c r="V12" s="51"/>
      <x:c r="W12" s="51"/>
      <x:c r="X12" s="51"/>
      <x:c r="Y12" s="51"/>
      <x:c r="Z12" s="51"/>
    </x:row>
    <x:row r="13" ht="15" hidden="0" customHeight="1">
      <x:c r="A13" s="51"/>
      <x:c r="B13" s="51"/>
      <x:c r="C13" s="51"/>
      <x:c r="D13" s="51"/>
      <x:c r="E13" s="51"/>
      <x:c r="F13" s="51"/>
      <x:c r="G13" s="51"/>
      <x:c r="H13" s="51"/>
      <x:c r="I13" s="51"/>
      <x:c r="J13" s="51"/>
      <x:c r="K13" s="51"/>
      <x:c r="L13" s="51"/>
      <x:c r="M13" s="51"/>
      <x:c r="N13" s="51"/>
      <x:c r="O13" s="51"/>
      <x:c r="P13" s="51"/>
      <x:c r="Q13" s="51"/>
      <x:c r="R13" s="51"/>
      <x:c r="S13" s="51"/>
      <x:c r="T13" s="51"/>
      <x:c r="U13" s="51"/>
      <x:c r="V13" s="51"/>
      <x:c r="W13" s="51"/>
      <x:c r="X13" s="51"/>
      <x:c r="Y13" s="51"/>
      <x:c r="Z13" s="51"/>
    </x:row>
    <x:row r="14" ht="15" hidden="0" customHeight="1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  <x:c r="O14" s="51"/>
      <x:c r="P14" s="51"/>
      <x:c r="Q14" s="51"/>
      <x:c r="R14" s="51"/>
      <x:c r="S14" s="51"/>
      <x:c r="T14" s="51"/>
      <x:c r="U14" s="51"/>
      <x:c r="V14" s="51"/>
      <x:c r="W14" s="51"/>
      <x:c r="X14" s="51"/>
      <x:c r="Y14" s="51"/>
      <x:c r="Z14" s="51"/>
    </x:row>
    <x:row r="15" ht="15" hidden="0" customHeight="1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  <x:c r="P15" s="51"/>
      <x:c r="Q15" s="51"/>
      <x:c r="R15" s="51"/>
      <x:c r="S15" s="51"/>
      <x:c r="T15" s="51"/>
      <x:c r="U15" s="51"/>
      <x:c r="V15" s="51"/>
      <x:c r="W15" s="51"/>
      <x:c r="X15" s="51"/>
      <x:c r="Y15" s="51"/>
      <x:c r="Z15" s="51"/>
    </x:row>
    <x:row r="16" ht="15" hidden="0" customHeight="1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  <x:c r="O16" s="51"/>
      <x:c r="P16" s="51"/>
      <x:c r="Q16" s="51"/>
      <x:c r="R16" s="51"/>
      <x:c r="S16" s="51"/>
      <x:c r="T16" s="51"/>
      <x:c r="U16" s="51"/>
      <x:c r="V16" s="51"/>
      <x:c r="W16" s="51"/>
      <x:c r="X16" s="51"/>
      <x:c r="Y16" s="51"/>
      <x:c r="Z16" s="51"/>
    </x:row>
    <x:row r="17" ht="15" hidden="0" customHeight="1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  <x:c r="O17" s="51"/>
      <x:c r="P17" s="51"/>
      <x:c r="Q17" s="51"/>
      <x:c r="R17" s="51"/>
      <x:c r="S17" s="51"/>
      <x:c r="T17" s="51"/>
      <x:c r="U17" s="51"/>
      <x:c r="V17" s="51"/>
      <x:c r="W17" s="51"/>
      <x:c r="X17" s="51"/>
      <x:c r="Y17" s="51"/>
      <x:c r="Z17" s="51"/>
    </x:row>
    <x:row r="18" ht="15" hidden="0" customHeight="1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  <x:c r="O18" s="51"/>
      <x:c r="P18" s="51"/>
      <x:c r="Q18" s="51"/>
      <x:c r="R18" s="51"/>
      <x:c r="S18" s="51"/>
      <x:c r="T18" s="51"/>
      <x:c r="U18" s="51"/>
      <x:c r="V18" s="51"/>
      <x:c r="W18" s="51"/>
      <x:c r="X18" s="51"/>
      <x:c r="Y18" s="51"/>
      <x:c r="Z18" s="51"/>
    </x:row>
    <x:row r="19" ht="15" hidden="0" customHeight="1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  <x:c r="O19" s="51"/>
      <x:c r="P19" s="51"/>
      <x:c r="Q19" s="51"/>
      <x:c r="R19" s="51"/>
      <x:c r="S19" s="51"/>
      <x:c r="T19" s="51"/>
      <x:c r="U19" s="51"/>
      <x:c r="V19" s="51"/>
      <x:c r="W19" s="51"/>
      <x:c r="X19" s="51"/>
      <x:c r="Y19" s="51"/>
      <x:c r="Z19" s="51"/>
    </x:row>
    <x:row r="20" ht="15" hidden="0" customHeight="1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  <x:c r="P20" s="51"/>
      <x:c r="Q20" s="51"/>
      <x:c r="R20" s="51"/>
      <x:c r="S20" s="51"/>
      <x:c r="T20" s="51"/>
      <x:c r="U20" s="51"/>
      <x:c r="V20" s="51"/>
      <x:c r="W20" s="51"/>
      <x:c r="X20" s="51"/>
      <x:c r="Y20" s="51"/>
      <x:c r="Z20" s="51"/>
    </x:row>
    <x:row r="21" ht="15" hidden="0" customHeight="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  <x:c r="P21" s="51"/>
      <x:c r="Q21" s="51"/>
      <x:c r="R21" s="51"/>
      <x:c r="S21" s="51"/>
      <x:c r="T21" s="51"/>
      <x:c r="U21" s="51"/>
      <x:c r="V21" s="51"/>
      <x:c r="W21" s="51"/>
      <x:c r="X21" s="51"/>
      <x:c r="Y21" s="51"/>
      <x:c r="Z21" s="51"/>
    </x:row>
    <x:row r="22" ht="15" hidden="0" customHeight="1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  <x:c r="P22" s="51"/>
      <x:c r="Q22" s="51"/>
      <x:c r="R22" s="51"/>
      <x:c r="S22" s="51"/>
      <x:c r="T22" s="51"/>
      <x:c r="U22" s="51"/>
      <x:c r="V22" s="51"/>
      <x:c r="W22" s="51"/>
      <x:c r="X22" s="51"/>
      <x:c r="Y22" s="51"/>
      <x:c r="Z22" s="51"/>
    </x:row>
    <x:row r="23" ht="15" hidden="0" customHeight="1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  <x:c r="P23" s="51"/>
      <x:c r="Q23" s="51"/>
      <x:c r="R23" s="51"/>
      <x:c r="S23" s="51"/>
      <x:c r="T23" s="51"/>
      <x:c r="U23" s="51"/>
      <x:c r="V23" s="51"/>
      <x:c r="W23" s="51"/>
      <x:c r="X23" s="51"/>
      <x:c r="Y23" s="51"/>
      <x:c r="Z23" s="51"/>
    </x:row>
    <x:row r="24" ht="15" hidden="0" customHeight="1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  <x:c r="P24" s="51"/>
      <x:c r="Q24" s="51"/>
      <x:c r="R24" s="51"/>
      <x:c r="S24" s="51"/>
      <x:c r="T24" s="51"/>
      <x:c r="U24" s="51"/>
      <x:c r="V24" s="51"/>
      <x:c r="W24" s="51"/>
      <x:c r="X24" s="51"/>
      <x:c r="Y24" s="51"/>
      <x:c r="Z24" s="51"/>
    </x:row>
    <x:row r="25" ht="15" hidden="0" customHeight="1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  <x:c r="P25" s="51"/>
      <x:c r="Q25" s="51"/>
      <x:c r="R25" s="51"/>
      <x:c r="S25" s="51"/>
      <x:c r="T25" s="51"/>
      <x:c r="U25" s="51"/>
      <x:c r="V25" s="51"/>
      <x:c r="W25" s="51"/>
      <x:c r="X25" s="51"/>
      <x:c r="Y25" s="51"/>
      <x:c r="Z25" s="51"/>
    </x:row>
    <x:row r="26" ht="15" hidden="0" customHeight="1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  <x:c r="P26" s="51"/>
      <x:c r="Q26" s="51"/>
      <x:c r="R26" s="51"/>
      <x:c r="S26" s="51"/>
      <x:c r="T26" s="51"/>
      <x:c r="U26" s="51"/>
      <x:c r="V26" s="51"/>
      <x:c r="W26" s="51"/>
      <x:c r="X26" s="51"/>
      <x:c r="Y26" s="51"/>
      <x:c r="Z26" s="51"/>
    </x:row>
    <x:row r="27" ht="15" hidden="0" customHeight="1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  <x:c r="P27" s="51"/>
      <x:c r="Q27" s="51"/>
      <x:c r="R27" s="51"/>
      <x:c r="S27" s="51"/>
      <x:c r="T27" s="51"/>
      <x:c r="U27" s="51"/>
      <x:c r="V27" s="51"/>
      <x:c r="W27" s="51"/>
      <x:c r="X27" s="51"/>
      <x:c r="Y27" s="51"/>
      <x:c r="Z27" s="51"/>
    </x:row>
    <x:row r="28" ht="15" hidden="0" customHeight="1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  <x:c r="P28" s="51"/>
      <x:c r="Q28" s="51"/>
      <x:c r="R28" s="51"/>
      <x:c r="S28" s="51"/>
      <x:c r="T28" s="51"/>
      <x:c r="U28" s="51"/>
      <x:c r="V28" s="51"/>
      <x:c r="W28" s="51"/>
      <x:c r="X28" s="51"/>
      <x:c r="Y28" s="51"/>
      <x:c r="Z28" s="51"/>
    </x:row>
    <x:row r="29" ht="15" hidden="0" customHeight="1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  <x:c r="P29" s="51"/>
      <x:c r="Q29" s="51"/>
      <x:c r="R29" s="51"/>
      <x:c r="S29" s="51"/>
      <x:c r="T29" s="51"/>
      <x:c r="U29" s="51"/>
      <x:c r="V29" s="51"/>
      <x:c r="W29" s="51"/>
      <x:c r="X29" s="51"/>
      <x:c r="Y29" s="51"/>
      <x:c r="Z29" s="51"/>
    </x:row>
    <x:row r="30" ht="15" hidden="0" customHeight="1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  <x:c r="P30" s="51"/>
      <x:c r="Q30" s="51"/>
      <x:c r="R30" s="51"/>
      <x:c r="S30" s="51"/>
      <x:c r="T30" s="51"/>
      <x:c r="U30" s="51"/>
      <x:c r="V30" s="51"/>
      <x:c r="W30" s="51"/>
      <x:c r="X30" s="51"/>
      <x:c r="Y30" s="51"/>
      <x:c r="Z30" s="51"/>
    </x:row>
    <x:row r="31" ht="15" hidden="0" customHeight="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  <x:c r="P31" s="51"/>
      <x:c r="Q31" s="51"/>
      <x:c r="R31" s="51"/>
      <x:c r="S31" s="51"/>
      <x:c r="T31" s="51"/>
      <x:c r="U31" s="51"/>
      <x:c r="V31" s="51"/>
      <x:c r="W31" s="51"/>
      <x:c r="X31" s="51"/>
      <x:c r="Y31" s="51"/>
      <x:c r="Z31" s="51"/>
    </x:row>
    <x:row r="32" ht="15" hidden="0" customHeight="1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  <x:c r="P32" s="51"/>
      <x:c r="Q32" s="51"/>
      <x:c r="R32" s="51"/>
      <x:c r="S32" s="51"/>
      <x:c r="T32" s="51"/>
      <x:c r="U32" s="51"/>
      <x:c r="V32" s="51"/>
      <x:c r="W32" s="51"/>
      <x:c r="X32" s="51"/>
      <x:c r="Y32" s="51"/>
      <x:c r="Z32" s="51"/>
    </x:row>
    <x:row r="33" ht="15" hidden="0" customHeight="1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  <x:c r="P33" s="51"/>
      <x:c r="Q33" s="51"/>
      <x:c r="R33" s="51"/>
      <x:c r="S33" s="51"/>
      <x:c r="T33" s="51"/>
      <x:c r="U33" s="51"/>
      <x:c r="V33" s="51"/>
      <x:c r="W33" s="51"/>
      <x:c r="X33" s="51"/>
      <x:c r="Y33" s="51"/>
      <x:c r="Z33" s="51"/>
    </x:row>
    <x:row r="34" ht="15" hidden="0" customHeight="1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  <x:c r="P34" s="51"/>
      <x:c r="Q34" s="51"/>
      <x:c r="R34" s="51"/>
      <x:c r="S34" s="51"/>
      <x:c r="T34" s="51"/>
      <x:c r="U34" s="51"/>
      <x:c r="V34" s="51"/>
      <x:c r="W34" s="51"/>
      <x:c r="X34" s="51"/>
      <x:c r="Y34" s="51"/>
      <x:c r="Z34" s="51"/>
    </x:row>
    <x:row r="35" ht="15" hidden="0" customHeight="1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  <x:c r="P35" s="51"/>
      <x:c r="Q35" s="51"/>
      <x:c r="R35" s="51"/>
      <x:c r="S35" s="51"/>
      <x:c r="T35" s="51"/>
      <x:c r="U35" s="51"/>
      <x:c r="V35" s="51"/>
      <x:c r="W35" s="51"/>
      <x:c r="X35" s="51"/>
      <x:c r="Y35" s="51"/>
      <x:c r="Z35" s="51"/>
    </x:row>
    <x:row r="36" ht="15" hidden="0" customHeight="1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  <x:c r="P36" s="51"/>
      <x:c r="Q36" s="51"/>
      <x:c r="R36" s="51"/>
      <x:c r="S36" s="51"/>
      <x:c r="T36" s="51"/>
      <x:c r="U36" s="51"/>
      <x:c r="V36" s="51"/>
      <x:c r="W36" s="51"/>
      <x:c r="X36" s="51"/>
      <x:c r="Y36" s="51"/>
      <x:c r="Z36" s="51"/>
    </x:row>
    <x:row r="37" ht="15" hidden="0" customHeight="1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  <x:c r="P37" s="51"/>
      <x:c r="Q37" s="51"/>
      <x:c r="R37" s="51"/>
      <x:c r="S37" s="51"/>
      <x:c r="T37" s="51"/>
      <x:c r="U37" s="51"/>
      <x:c r="V37" s="51"/>
      <x:c r="W37" s="51"/>
      <x:c r="X37" s="51"/>
      <x:c r="Y37" s="51"/>
      <x:c r="Z37" s="51"/>
    </x:row>
    <x:row r="38" ht="15" hidden="0" customHeight="1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  <x:c r="P38" s="51"/>
      <x:c r="Q38" s="51"/>
      <x:c r="R38" s="51"/>
      <x:c r="S38" s="51"/>
      <x:c r="T38" s="51"/>
      <x:c r="U38" s="51"/>
      <x:c r="V38" s="51"/>
      <x:c r="W38" s="51"/>
      <x:c r="X38" s="51"/>
      <x:c r="Y38" s="51"/>
      <x:c r="Z38" s="51"/>
    </x:row>
    <x:row r="39" ht="15" hidden="0" customHeight="1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  <x:c r="P39" s="51"/>
      <x:c r="Q39" s="51"/>
      <x:c r="R39" s="51"/>
      <x:c r="S39" s="51"/>
      <x:c r="T39" s="51"/>
      <x:c r="U39" s="51"/>
      <x:c r="V39" s="51"/>
      <x:c r="W39" s="51"/>
      <x:c r="X39" s="51"/>
      <x:c r="Y39" s="51"/>
      <x:c r="Z39" s="51"/>
    </x:row>
    <x:row r="40" ht="15" hidden="0" customHeight="1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  <x:c r="P40" s="51"/>
      <x:c r="Q40" s="51"/>
      <x:c r="R40" s="51"/>
      <x:c r="S40" s="51"/>
      <x:c r="T40" s="51"/>
      <x:c r="U40" s="51"/>
      <x:c r="V40" s="51"/>
      <x:c r="W40" s="51"/>
      <x:c r="X40" s="51"/>
      <x:c r="Y40" s="51"/>
      <x:c r="Z40" s="51"/>
    </x:row>
    <x:row r="41" ht="15" hidden="0" customHeight="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  <x:c r="P41" s="51"/>
      <x:c r="Q41" s="51"/>
      <x:c r="R41" s="51"/>
      <x:c r="S41" s="51"/>
      <x:c r="T41" s="51"/>
      <x:c r="U41" s="51"/>
      <x:c r="V41" s="51"/>
      <x:c r="W41" s="51"/>
      <x:c r="X41" s="51"/>
      <x:c r="Y41" s="51"/>
      <x:c r="Z41" s="51"/>
    </x:row>
    <x:row r="42" ht="15" hidden="0" customHeight="1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  <x:c r="P42" s="51"/>
      <x:c r="Q42" s="51"/>
      <x:c r="R42" s="51"/>
      <x:c r="S42" s="51"/>
      <x:c r="T42" s="51"/>
      <x:c r="U42" s="51"/>
      <x:c r="V42" s="51"/>
      <x:c r="W42" s="51"/>
      <x:c r="X42" s="51"/>
      <x:c r="Y42" s="51"/>
      <x:c r="Z42" s="51"/>
    </x:row>
    <x:row r="43" ht="15" hidden="0" customHeight="1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  <x:c r="P43" s="51"/>
      <x:c r="Q43" s="51"/>
      <x:c r="R43" s="51"/>
      <x:c r="S43" s="51"/>
      <x:c r="T43" s="51"/>
      <x:c r="U43" s="51"/>
      <x:c r="V43" s="51"/>
      <x:c r="W43" s="51"/>
      <x:c r="X43" s="51"/>
      <x:c r="Y43" s="51"/>
      <x:c r="Z43" s="51"/>
    </x:row>
    <x:row r="44" ht="15" hidden="0" customHeight="1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  <x:c r="P44" s="51"/>
      <x:c r="Q44" s="51"/>
      <x:c r="R44" s="51"/>
      <x:c r="S44" s="51"/>
      <x:c r="T44" s="51"/>
      <x:c r="U44" s="51"/>
      <x:c r="V44" s="51"/>
      <x:c r="W44" s="51"/>
      <x:c r="X44" s="51"/>
      <x:c r="Y44" s="51"/>
      <x:c r="Z44" s="51"/>
    </x:row>
    <x:row r="45" ht="15" hidden="0" customHeight="1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  <x:c r="P45" s="51"/>
      <x:c r="Q45" s="51"/>
      <x:c r="R45" s="51"/>
      <x:c r="S45" s="51"/>
      <x:c r="T45" s="51"/>
      <x:c r="U45" s="51"/>
      <x:c r="V45" s="51"/>
      <x:c r="W45" s="51"/>
      <x:c r="X45" s="51"/>
      <x:c r="Y45" s="51"/>
      <x:c r="Z45" s="51"/>
    </x:row>
    <x:row r="46" ht="15" hidden="0" customHeight="1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  <x:c r="P46" s="51"/>
      <x:c r="Q46" s="51"/>
      <x:c r="R46" s="51"/>
      <x:c r="S46" s="51"/>
      <x:c r="T46" s="51"/>
      <x:c r="U46" s="51"/>
      <x:c r="V46" s="51"/>
      <x:c r="W46" s="51"/>
      <x:c r="X46" s="51"/>
      <x:c r="Y46" s="51"/>
      <x:c r="Z46" s="51"/>
    </x:row>
    <x:row r="47" ht="15" hidden="0" customHeight="1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  <x:c r="P47" s="51"/>
      <x:c r="Q47" s="51"/>
      <x:c r="R47" s="51"/>
      <x:c r="S47" s="51"/>
      <x:c r="T47" s="51"/>
      <x:c r="U47" s="51"/>
      <x:c r="V47" s="51"/>
      <x:c r="W47" s="51"/>
      <x:c r="X47" s="51"/>
      <x:c r="Y47" s="51"/>
      <x:c r="Z47" s="51"/>
    </x:row>
    <x:row r="48" ht="15" hidden="0" customHeight="1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  <x:c r="P48" s="51"/>
      <x:c r="Q48" s="51"/>
      <x:c r="R48" s="51"/>
      <x:c r="S48" s="51"/>
      <x:c r="T48" s="51"/>
      <x:c r="U48" s="51"/>
      <x:c r="V48" s="51"/>
      <x:c r="W48" s="51"/>
      <x:c r="X48" s="51"/>
      <x:c r="Y48" s="51"/>
      <x:c r="Z48" s="51"/>
    </x:row>
    <x:row r="49" ht="15" hidden="0" customHeight="1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  <x:c r="P49" s="51"/>
      <x:c r="Q49" s="51"/>
      <x:c r="R49" s="51"/>
      <x:c r="S49" s="51"/>
      <x:c r="T49" s="51"/>
      <x:c r="U49" s="51"/>
      <x:c r="V49" s="51"/>
      <x:c r="W49" s="51"/>
      <x:c r="X49" s="51"/>
      <x:c r="Y49" s="51"/>
      <x:c r="Z49" s="51"/>
    </x:row>
    <x:row r="50" ht="15" hidden="0" customHeight="1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  <x:c r="P50" s="51"/>
      <x:c r="Q50" s="51"/>
      <x:c r="R50" s="51"/>
      <x:c r="S50" s="51"/>
      <x:c r="T50" s="51"/>
      <x:c r="U50" s="51"/>
      <x:c r="V50" s="51"/>
      <x:c r="W50" s="51"/>
      <x:c r="X50" s="51"/>
      <x:c r="Y50" s="51"/>
      <x:c r="Z50" s="51"/>
    </x:row>
    <x:row r="51" ht="15" hidden="0" customHeight="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  <x:c r="O51" s="51"/>
      <x:c r="P51" s="51"/>
      <x:c r="Q51" s="51"/>
      <x:c r="R51" s="51"/>
      <x:c r="S51" s="51"/>
      <x:c r="T51" s="51"/>
      <x:c r="U51" s="51"/>
      <x:c r="V51" s="51"/>
      <x:c r="W51" s="51"/>
      <x:c r="X51" s="51"/>
      <x:c r="Y51" s="51"/>
      <x:c r="Z51" s="51"/>
    </x:row>
    <x:row r="52" ht="15" hidden="0" customHeight="1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  <x:c r="N52" s="51"/>
      <x:c r="O52" s="51"/>
      <x:c r="P52" s="51"/>
      <x:c r="Q52" s="51"/>
      <x:c r="R52" s="51"/>
      <x:c r="S52" s="51"/>
      <x:c r="T52" s="51"/>
      <x:c r="U52" s="51"/>
      <x:c r="V52" s="51"/>
      <x:c r="W52" s="51"/>
      <x:c r="X52" s="51"/>
      <x:c r="Y52" s="51"/>
      <x:c r="Z52" s="51"/>
    </x:row>
    <x:row r="53" ht="15" hidden="0" customHeight="1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  <x:c r="N53" s="51"/>
      <x:c r="O53" s="51"/>
      <x:c r="P53" s="51"/>
      <x:c r="Q53" s="51"/>
      <x:c r="R53" s="51"/>
      <x:c r="S53" s="51"/>
      <x:c r="T53" s="51"/>
      <x:c r="U53" s="51"/>
      <x:c r="V53" s="51"/>
      <x:c r="W53" s="51"/>
      <x:c r="X53" s="51"/>
      <x:c r="Y53" s="51"/>
      <x:c r="Z53" s="51"/>
    </x:row>
    <x:row r="54" ht="15" hidden="0" customHeight="1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  <x:c r="O54" s="51"/>
      <x:c r="P54" s="51"/>
      <x:c r="Q54" s="51"/>
      <x:c r="R54" s="51"/>
      <x:c r="S54" s="51"/>
      <x:c r="T54" s="51"/>
      <x:c r="U54" s="51"/>
      <x:c r="V54" s="51"/>
      <x:c r="W54" s="51"/>
      <x:c r="X54" s="51"/>
      <x:c r="Y54" s="51"/>
      <x:c r="Z54" s="51"/>
    </x:row>
    <x:row r="55" ht="15" hidden="0" customHeight="1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  <x:c r="O55" s="51"/>
      <x:c r="P55" s="51"/>
      <x:c r="Q55" s="51"/>
      <x:c r="R55" s="51"/>
      <x:c r="S55" s="51"/>
      <x:c r="T55" s="51"/>
      <x:c r="U55" s="51"/>
      <x:c r="V55" s="51"/>
      <x:c r="W55" s="51"/>
      <x:c r="X55" s="51"/>
      <x:c r="Y55" s="51"/>
      <x:c r="Z55" s="51"/>
    </x:row>
    <x:row r="56" ht="15" hidden="0" customHeight="1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  <x:c r="O56" s="51"/>
      <x:c r="P56" s="51"/>
      <x:c r="Q56" s="51"/>
      <x:c r="R56" s="51"/>
      <x:c r="S56" s="51"/>
      <x:c r="T56" s="51"/>
      <x:c r="U56" s="51"/>
      <x:c r="V56" s="51"/>
      <x:c r="W56" s="51"/>
      <x:c r="X56" s="51"/>
      <x:c r="Y56" s="51"/>
      <x:c r="Z56" s="51"/>
    </x:row>
    <x:row r="57" ht="15" hidden="0" customHeight="1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  <x:c r="O57" s="51"/>
      <x:c r="P57" s="51"/>
      <x:c r="Q57" s="51"/>
      <x:c r="R57" s="51"/>
      <x:c r="S57" s="51"/>
      <x:c r="T57" s="51"/>
      <x:c r="U57" s="51"/>
      <x:c r="V57" s="51"/>
      <x:c r="W57" s="51"/>
      <x:c r="X57" s="51"/>
      <x:c r="Y57" s="51"/>
      <x:c r="Z57" s="51"/>
    </x:row>
    <x:row r="58" ht="15" hidden="0" customHeight="1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  <x:c r="O58" s="51"/>
      <x:c r="P58" s="51"/>
      <x:c r="Q58" s="51"/>
      <x:c r="R58" s="51"/>
      <x:c r="S58" s="51"/>
      <x:c r="T58" s="51"/>
      <x:c r="U58" s="51"/>
      <x:c r="V58" s="51"/>
      <x:c r="W58" s="51"/>
      <x:c r="X58" s="51"/>
      <x:c r="Y58" s="51"/>
      <x:c r="Z58" s="51"/>
    </x:row>
    <x:row r="59" ht="15" hidden="0" customHeight="1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  <x:c r="O59" s="51"/>
      <x:c r="P59" s="51"/>
      <x:c r="Q59" s="51"/>
      <x:c r="R59" s="51"/>
      <x:c r="S59" s="51"/>
      <x:c r="T59" s="51"/>
      <x:c r="U59" s="51"/>
      <x:c r="V59" s="51"/>
      <x:c r="W59" s="51"/>
      <x:c r="X59" s="51"/>
      <x:c r="Y59" s="51"/>
      <x:c r="Z59" s="51"/>
    </x:row>
    <x:row r="60" ht="15" hidden="0" customHeight="1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  <x:c r="O60" s="51"/>
      <x:c r="P60" s="51"/>
      <x:c r="Q60" s="51"/>
      <x:c r="R60" s="51"/>
      <x:c r="S60" s="51"/>
      <x:c r="T60" s="51"/>
      <x:c r="U60" s="51"/>
      <x:c r="V60" s="51"/>
      <x:c r="W60" s="51"/>
      <x:c r="X60" s="51"/>
      <x:c r="Y60" s="51"/>
      <x:c r="Z60" s="51"/>
    </x:row>
  </x:sheetData>
  <x:pageMargins left="0.7" right="0.7" top="0.75" bottom="0.75" header="0.3" footer="0.3"/>
  <x:tableParts count="1">
    <x:tablePart xmlns:r="http://schemas.openxmlformats.org/officeDocument/2006/relationships" r:id="Rc9695463be254344"/>
  </x:tableParts>
</x:worksheet>
</file>